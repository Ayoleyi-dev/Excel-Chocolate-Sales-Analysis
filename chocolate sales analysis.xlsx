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7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73bb8d63b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ocolate Sales" sheetId="1" r:id="R6674d2263f3e4b9b"/>
    <x:sheet xmlns:r="http://schemas.openxmlformats.org/officeDocument/2006/relationships" name="Analysis Data" sheetId="2" r:id="R5ecabd614896476b"/>
    <x:sheet xmlns:r="http://schemas.openxmlformats.org/officeDocument/2006/relationships" name="Summary" sheetId="3" r:id="R9d92d3bdc0a54ddc"/>
    <x:sheet xmlns:r="http://schemas.openxmlformats.org/officeDocument/2006/relationships" name="Dashboard" sheetId="4" r:id="R2c808b4f582840fb"/>
    <x:sheet xmlns:r="http://schemas.openxmlformats.org/officeDocument/2006/relationships" name="Data Audit" sheetId="5" r:id="Rbe8aba665f604dc6"/>
    <x:sheet xmlns:r="http://schemas.openxmlformats.org/officeDocument/2006/relationships" name="_Lists" sheetId="6" r:id="Ra1175dbf7d6e4619"/>
    <x:sheet xmlns:r="http://schemas.openxmlformats.org/officeDocument/2006/relationships" name="Interactive View" sheetId="7" r:id="Rd9684817a02d4e88"/>
    <x:sheet xmlns:r="http://schemas.openxmlformats.org/officeDocument/2006/relationships" name="Performance Analysis" sheetId="8" r:id="R70004c8ed83a4607"/>
    <x:sheet xmlns:r="http://schemas.openxmlformats.org/officeDocument/2006/relationships" name="Scenario Planning" sheetId="9" r:id="R962d8f3fcd694428"/>
  </x:sheets>
</x:workbook>
</file>

<file path=xl/sharedStrings.xml><?xml version="1.0" encoding="utf-8"?>
<x:sst xmlns:x="http://schemas.openxmlformats.org/spreadsheetml/2006/main">
  <x:si>
    <x:t xml:space="preserve">Sales Person</x:t>
  </x:si>
  <x:si>
    <x:t xml:space="preserve">Country</x:t>
  </x:si>
  <x:si>
    <x:t xml:space="preserve">Product</x:t>
  </x:si>
  <x:si>
    <x:t xml:space="preserve">Date</x:t>
  </x:si>
  <x:si>
    <x:t xml:space="preserve">Amount</x:t>
  </x:si>
  <x:si>
    <x:t xml:space="preserve">Boxes Shipped</x:t>
  </x:si>
  <x:si>
    <x:t xml:space="preserve">Jehu Rudeforth</x:t>
  </x:si>
  <x:si>
    <x:t xml:space="preserve">UK</x:t>
  </x:si>
  <x:si>
    <x:t xml:space="preserve">Mint Chip Choco</x:t>
  </x:si>
  <x:si>
    <x:t xml:space="preserve">Van Tuxwell</x:t>
  </x:si>
  <x:si>
    <x:t xml:space="preserve">India</x:t>
  </x:si>
  <x:si>
    <x:t xml:space="preserve">85% Dark Bars</x:t>
  </x:si>
  <x:si>
    <x:t xml:space="preserve">Gigi Bohling</x:t>
  </x:si>
  <x:si>
    <x:t xml:space="preserve">Peanut Butter Cubes</x:t>
  </x:si>
  <x:si>
    <x:t xml:space="preserve">Jan Morforth</x:t>
  </x:si>
  <x:si>
    <x:t xml:space="preserve">Australia</x:t>
  </x:si>
  <x:si>
    <x:t xml:space="preserve">Smooth Sliky Salty</x:t>
  </x:si>
  <x:si>
    <x:t xml:space="preserve">Oby Sorrel</x:t>
  </x:si>
  <x:si>
    <x:t xml:space="preserve">99% Dark &amp; Pure</x:t>
  </x:si>
  <x:si>
    <x:t xml:space="preserve">Gunar Cockshoot</x:t>
  </x:si>
  <x:si>
    <x:t xml:space="preserve">After Nines</x:t>
  </x:si>
  <x:si>
    <x:t xml:space="preserve">New Zealand</x:t>
  </x:si>
  <x:si>
    <x:t xml:space="preserve">50% Dark Bites</x:t>
  </x:si>
  <x:si>
    <x:t xml:space="preserve">Brien Boise</x:t>
  </x:si>
  <x:si>
    <x:t xml:space="preserve">Rafaelita Blaksland</x:t>
  </x:si>
  <x:si>
    <x:t xml:space="preserve">Barr Faughny</x:t>
  </x:si>
  <x:si>
    <x:t xml:space="preserve">USA</x:t>
  </x:si>
  <x:si>
    <x:t xml:space="preserve">Orange Choco</x:t>
  </x:si>
  <x:si>
    <x:t xml:space="preserve">Mallorie Waber</x:t>
  </x:si>
  <x:si>
    <x:t xml:space="preserve">Canada</x:t>
  </x:si>
  <x:si>
    <x:t xml:space="preserve">Eclairs</x:t>
  </x:si>
  <x:si>
    <x:t xml:space="preserve">Karlen McCaffrey</x:t>
  </x:si>
  <x:si>
    <x:t xml:space="preserve">Drinking Coco</x:t>
  </x:si>
  <x:si>
    <x:t xml:space="preserve">Marney O'Breen</x:t>
  </x:si>
  <x:si>
    <x:t xml:space="preserve">Beverie Moffet</x:t>
  </x:si>
  <x:si>
    <x:t xml:space="preserve">Organic Choco Syrup</x:t>
  </x:si>
  <x:si>
    <x:t xml:space="preserve">Roddy Speechley</x:t>
  </x:si>
  <x:si>
    <x:t xml:space="preserve">Milk Bars</x:t>
  </x:si>
  <x:si>
    <x:t xml:space="preserve">Curtice Advani</x:t>
  </x:si>
  <x:si>
    <x:t xml:space="preserve">Spicy Special Slims</x:t>
  </x:si>
  <x:si>
    <x:t xml:space="preserve">Husein Augar</x:t>
  </x:si>
  <x:si>
    <x:t xml:space="preserve">Kaine Padly</x:t>
  </x:si>
  <x:si>
    <x:t xml:space="preserve">Fruit &amp; Nut Bars</x:t>
  </x:si>
  <x:si>
    <x:t xml:space="preserve">Dennison Crosswaite</x:t>
  </x:si>
  <x:si>
    <x:t xml:space="preserve">White Choc</x:t>
  </x:si>
  <x:si>
    <x:t xml:space="preserve">Manuka Honey Choco</x:t>
  </x:si>
  <x:si>
    <x:t xml:space="preserve">Wilone O'Kielt</x:t>
  </x:si>
  <x:si>
    <x:t xml:space="preserve">Almond Choco</x:t>
  </x:si>
  <x:si>
    <x:t xml:space="preserve">Andria Kimpton</x:t>
  </x:si>
  <x:si>
    <x:t xml:space="preserve">Kelci Walkden</x:t>
  </x:si>
  <x:si>
    <x:t xml:space="preserve">Camilla Castle</x:t>
  </x:si>
  <x:si>
    <x:t xml:space="preserve">Raspberry Choco</x:t>
  </x:si>
  <x:si>
    <x:t xml:space="preserve">Choco Coated Almonds</x:t>
  </x:si>
  <x:si>
    <x:t xml:space="preserve">Madelene Upcott</x:t>
  </x:si>
  <x:si>
    <x:t xml:space="preserve">Dotty Strutley</x:t>
  </x:si>
  <x:si>
    <x:t xml:space="preserve">Ches Bonnell</x:t>
  </x:si>
  <x:si>
    <x:t xml:space="preserve">Baker's Choco Chips</x:t>
  </x:si>
  <x:si>
    <x:t xml:space="preserve">Caramel Stuffed Bars</x:t>
  </x:si>
  <x:si>
    <x:t xml:space="preserve">70% Dark Bites</x:t>
  </x:si>
</x:sst>
</file>

<file path=xl/styles.xml><?xml version="1.0" encoding="utf-8"?>
<x:styleSheet xmlns:x="http://schemas.openxmlformats.org/spreadsheetml/2006/main">
  <x:numFmts count="8">
    <x:numFmt numFmtId="200" formatCode="dd-mmm-yyyy"/>
    <x:numFmt numFmtId="201" formatCode="$#,##0"/>
    <x:numFmt numFmtId="202" formatCode="#,##0"/>
    <x:numFmt numFmtId="203" formatCode="$0.00"/>
    <x:numFmt numFmtId="204" formatCode="0"/>
    <x:numFmt numFmtId="205" formatCode="$#,##0.00"/>
    <x:numFmt numFmtId="206" formatCode="0.0%"/>
    <x:numFmt numFmtId="207" formatCode="0%"/>
  </x:numFmts>
  <x:fonts count="31">
    <x:font>
      <x:sz val="11"/>
      <x:color theme="1"/>
      <x:name val="Calibri"/>
    </x:font>
    <x:font>
      <x:sz val="11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b/>
      <x:sz val="20"/>
      <x:color rgb="FFFFFFFF"/>
      <x:name val="Calibri"/>
    </x:font>
    <x:font>
      <x:i/>
      <x:sz val="10"/>
      <x:color rgb="FF2B211B"/>
      <x:name val="Calibri"/>
    </x:font>
    <x:font>
      <x:b/>
      <x:sz val="10"/>
      <x:color rgb="FFFFFFFF"/>
      <x:name val="Calibri"/>
    </x:font>
    <x:font>
      <x:b/>
      <x:sz val="18"/>
      <x:color rgb="FF3B2416"/>
      <x:name val="Calibri"/>
    </x:font>
    <x:font>
      <x:b/>
      <x:sz val="12"/>
      <x:color rgb="FFFFFFFF"/>
      <x:name val="Calibri"/>
    </x:font>
    <x:font>
      <x:sz val="10"/>
      <x:color rgb="FF2B211B"/>
      <x:name val="Calibri"/>
    </x:font>
    <x:font>
      <x:b/>
      <x:sz val="18"/>
      <x:color rgb="FFFFFFFF"/>
      <x:name val="Calibri"/>
    </x:font>
    <x:font>
      <x:i/>
      <x:sz val="11"/>
      <x:color rgb="FF2B211E"/>
      <x:name val="Calibri"/>
    </x:font>
    <x:font>
      <x:b/>
      <x:sz val="11"/>
      <x:color rgb="FF2B211E"/>
      <x:name val="Calibri"/>
    </x:font>
    <x:font>
      <x:b/>
      <x:sz val="14"/>
      <x:color rgb="FF3A2723"/>
      <x:name val="Calibri"/>
    </x:font>
    <x:font>
      <x:b/>
      <x:sz val="11"/>
      <x:color rgb="FF3A2723"/>
      <x:name val="Calibri"/>
    </x:font>
  </x:fonts>
  <x:fills count="42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3B2416"/>
      </x:patternFill>
    </x:fill>
    <x:fill>
      <x:patternFill patternType="solid">
        <x:fgColor rgb="FF6B3E26"/>
      </x:patternFill>
    </x:fill>
    <x:fill>
      <x:patternFill patternType="solid">
        <x:fgColor rgb="FFF1DDC7"/>
      </x:patternFill>
    </x:fill>
    <x:fill>
      <x:patternFill patternType="solid">
        <x:fgColor rgb="FFFAF7F2"/>
      </x:patternFill>
    </x:fill>
    <x:fill>
      <x:patternFill patternType="solid">
        <x:fgColor rgb="FFFFFFFF"/>
      </x:patternFill>
    </x:fill>
    <x:fill>
      <x:patternFill patternType="solid">
        <x:fgColor rgb="FF3A2723"/>
      </x:patternFill>
    </x:fill>
    <x:fill>
      <x:patternFill patternType="solid">
        <x:fgColor rgb="FFF6EBDD"/>
      </x:patternFill>
    </x:fill>
    <x:fill>
      <x:patternFill patternType="solid">
        <x:fgColor rgb="FF6D4C41"/>
      </x:patternFill>
    </x:fill>
    <x:fill>
      <x:patternFill patternType="solid">
        <x:fgColor rgb="FFFFF9F2"/>
      </x:patternFill>
    </x:fill>
  </x:fills>
  <x:borders count="23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/>
    <x:border>
      <x:left style="thin">
        <x:color rgb="FFF1DDC7"/>
      </x:left>
      <x:top style="thin">
        <x:color rgb="FFF1DDC7"/>
      </x:top>
    </x:border>
    <x:border>
      <x:top style="thin">
        <x:color rgb="FFF1DDC7"/>
      </x:top>
    </x:border>
    <x:border>
      <x:right style="thin">
        <x:color rgb="FFF1DDC7"/>
      </x:right>
      <x:top style="thin">
        <x:color rgb="FFF1DDC7"/>
      </x:top>
    </x:border>
    <x:border>
      <x:left style="thin">
        <x:color rgb="FFF1DDC7"/>
      </x:left>
      <x:bottom style="thin">
        <x:color rgb="FFF1DDC7"/>
      </x:bottom>
    </x:border>
    <x:border>
      <x:bottom style="thin">
        <x:color rgb="FFF1DDC7"/>
      </x:bottom>
    </x:border>
    <x:border>
      <x:right style="thin">
        <x:color rgb="FFF1DDC7"/>
      </x:right>
      <x:bottom style="thin">
        <x:color rgb="FFF1DDC7"/>
      </x:bottom>
    </x:border>
    <x:border>
      <x:left style="thin">
        <x:color rgb="FFF1DDC7"/>
      </x:left>
      <x:top style="thin">
        <x:color rgb="FFF1DDC7"/>
      </x:top>
    </x:border>
    <x:border>
      <x:top style="thin">
        <x:color rgb="FFF1DDC7"/>
      </x:top>
    </x:border>
    <x:border>
      <x:right style="thin">
        <x:color rgb="FFF1DDC7"/>
      </x:right>
      <x:top style="thin">
        <x:color rgb="FFF1DDC7"/>
      </x:top>
    </x:border>
    <x:border>
      <x:left style="thin">
        <x:color rgb="FFF1DDC7"/>
      </x:left>
      <x:bottom style="thin">
        <x:color rgb="FFF1DDC7"/>
      </x:bottom>
    </x:border>
    <x:border>
      <x:bottom style="thin">
        <x:color rgb="FFF1DDC7"/>
      </x:bottom>
    </x:border>
    <x:border>
      <x:right style="thin">
        <x:color rgb="FFF1DDC7"/>
      </x:right>
      <x:bottom style="thin">
        <x:color rgb="FFF1DDC7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183">
    <x:xf numFmtId="0" fontId="0" fillId="0" borderId="0" xfId="0"/>
    <x:xf numFmtId="15" fontId="0" fillId="0" borderId="0" xfId="0" applyNumberFormat="1"/>
    <x:xf numFmtId="3" fontId="0" fillId="0" borderId="0" xfId="0" applyNumberFormat="1"/>
    <x:xf numFmtId="0" fontId="0" fillId="0" borderId="10" xfId="0" applyNumberFormat="1" applyFont="1" applyFill="1" applyBorder="1"/>
    <x:xf numFmtId="15" fontId="0" fillId="0" borderId="10" xfId="0" applyNumberFormat="1" applyFont="1" applyFill="1" applyBorder="1"/>
    <x:xf numFmtId="3" fontId="0" fillId="0" borderId="10" xfId="0" applyNumberFormat="1" applyFont="1" applyFill="1" applyBorder="1"/>
    <x:xf numFmtId="0" fontId="0" fillId="33" borderId="0" xfId="0" applyNumberFormat="1" applyFont="1" applyFill="1" applyBorder="1"/>
    <x:xf numFmtId="0" fontId="18" fillId="33" borderId="0" xfId="0" applyNumberFormat="1" applyFont="1" applyFill="1" applyBorder="1"/>
    <x:xf numFmtId="0" fontId="18" fillId="33" borderId="0" xfId="0" applyNumberFormat="1" applyFont="1" applyFill="1" applyBorder="1" applyAlignment="1">
      <x:alignment horizontal="center"/>
    </x:xf>
    <x:xf numFmtId="0" fontId="18" fillId="33" borderId="0" xfId="0" applyNumberFormat="1" applyFont="1" applyFill="1" applyBorder="1" applyAlignment="1">
      <x:alignment horizontal="center" vertical="center"/>
    </x:xf>
    <x:xf numFmtId="0" fontId="0" fillId="33" borderId="10" xfId="0" applyNumberFormat="1" applyFont="1" applyFill="1" applyBorder="1"/>
    <x:xf numFmtId="0" fontId="18" fillId="33" borderId="10" xfId="0" applyNumberFormat="1" applyFont="1" applyFill="1" applyBorder="1"/>
    <x:xf numFmtId="0" fontId="18" fillId="33" borderId="10" xfId="0" applyNumberFormat="1" applyFont="1" applyFill="1" applyBorder="1" applyAlignment="1">
      <x:alignment horizontal="center"/>
    </x:xf>
    <x:xf numFmtId="0" fontId="18" fillId="33" borderId="1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0" xfId="0" applyNumberFormat="1" applyFont="1" applyFill="1" applyBorder="1"/>
    <x:xf numFmtId="201" fontId="0" fillId="0" borderId="0" xfId="0" applyNumberFormat="1" applyFont="1" applyFill="1" applyBorder="1"/>
    <x:xf numFmtId="201" fontId="0" fillId="0" borderId="10" xfId="0" applyNumberFormat="1" applyFont="1" applyFill="1" applyBorder="1"/>
    <x:xf numFmtId="202" fontId="0" fillId="0" borderId="0" xfId="0" applyNumberFormat="1" applyFont="1" applyFill="1" applyBorder="1"/>
    <x:xf numFmtId="202" fontId="0" fillId="0" borderId="10" xfId="0" applyNumberFormat="1" applyFont="1" applyFill="1" applyBorder="1"/>
    <x:xf numFmtId="203" fontId="0" fillId="0" borderId="0" xfId="0" applyNumberFormat="1" applyFont="1" applyFill="1" applyBorder="1"/>
    <x:xf numFmtId="203" fontId="0" fillId="0" borderId="10" xfId="0" applyNumberFormat="1" applyFont="1" applyFill="1" applyBorder="1"/>
    <x:xf numFmtId="204" fontId="0" fillId="0" borderId="0" xfId="0" applyNumberFormat="1" applyFont="1" applyFill="1" applyBorder="1"/>
    <x:xf numFmtId="204" fontId="0" fillId="0" borderId="10" xfId="0" applyNumberFormat="1" applyFont="1" applyFill="1" applyBorder="1"/>
    <x:xf numFmtId="0" fontId="19" fillId="33" borderId="0" xfId="0" applyNumberFormat="1" applyFont="1" applyFill="1" applyBorder="1"/>
    <x:xf numFmtId="0" fontId="19" fillId="33" borderId="0" xfId="0" applyNumberFormat="1" applyFont="1" applyFill="1" applyBorder="1" applyAlignment="1">
      <x:alignment horizontal="center"/>
    </x:xf>
    <x:xf numFmtId="0" fontId="19" fillId="33" borderId="0" xfId="0" applyNumberFormat="1" applyFont="1" applyFill="1" applyBorder="1" applyAlignment="1">
      <x:alignment horizontal="center" vertical="center"/>
    </x:xf>
    <x:xf numFmtId="0" fontId="19" fillId="33" borderId="10" xfId="0" applyNumberFormat="1" applyFont="1" applyFill="1" applyBorder="1"/>
    <x:xf numFmtId="0" fontId="19" fillId="33" borderId="10" xfId="0" applyNumberFormat="1" applyFont="1" applyFill="1" applyBorder="1" applyAlignment="1">
      <x:alignment horizontal="center"/>
    </x:xf>
    <x:xf numFmtId="0" fontId="19" fillId="33" borderId="10" xfId="0" applyNumberFormat="1" applyFont="1" applyFill="1" applyBorder="1" applyAlignment="1">
      <x:alignment horizontal="center" vertical="center"/>
    </x:xf>
    <x:xf numFmtId="0" fontId="0" fillId="34" borderId="0" xfId="0" applyNumberFormat="1" applyFont="1" applyFill="1" applyBorder="1"/>
    <x:xf numFmtId="0" fontId="18" fillId="34" borderId="0" xfId="0" applyNumberFormat="1" applyFont="1" applyFill="1" applyBorder="1"/>
    <x:xf numFmtId="0" fontId="18" fillId="34" borderId="0" xfId="0" applyNumberFormat="1" applyFont="1" applyFill="1" applyBorder="1" applyAlignment="1">
      <x:alignment horizontal="center"/>
    </x:xf>
    <x:xf numFmtId="0" fontId="18" fillId="34" borderId="0" xfId="0" applyNumberFormat="1" applyFont="1" applyFill="1" applyBorder="1" applyAlignment="1">
      <x:alignment horizontal="center" vertical="center"/>
    </x:xf>
    <x:xf numFmtId="0" fontId="0" fillId="34" borderId="10" xfId="0" applyNumberFormat="1" applyFont="1" applyFill="1" applyBorder="1"/>
    <x:xf numFmtId="0" fontId="18" fillId="34" borderId="10" xfId="0" applyNumberFormat="1" applyFont="1" applyFill="1" applyBorder="1"/>
    <x:xf numFmtId="0" fontId="18" fillId="34" borderId="10" xfId="0" applyNumberFormat="1" applyFont="1" applyFill="1" applyBorder="1" applyAlignment="1">
      <x:alignment horizontal="center"/>
    </x:xf>
    <x:xf numFmtId="0" fontId="18" fillId="34" borderId="10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  <x:xf numFmtId="205" fontId="0" fillId="0" borderId="10" xfId="0" applyNumberFormat="1" applyFont="1" applyFill="1" applyBorder="1"/>
    <x:xf numFmtId="206" fontId="0" fillId="0" borderId="0" xfId="0" applyNumberFormat="1" applyFont="1" applyFill="1" applyBorder="1"/>
    <x:xf numFmtId="206" fontId="0" fillId="0" borderId="10" xfId="0" applyNumberFormat="1" applyFont="1" applyFill="1" applyBorder="1"/>
    <x:xf numFmtId="0" fontId="19" fillId="3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8" fillId="34" borderId="0" xfId="0" applyNumberFormat="1" applyFont="1" applyFill="1" applyBorder="1" applyAlignment="1">
      <x:alignment wrapText="1"/>
    </x:xf>
    <x:xf numFmtId="0" fontId="19" fillId="33" borderId="1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18" fillId="34" borderId="10" xfId="0" applyNumberFormat="1" applyFont="1" applyFill="1" applyBorder="1" applyAlignment="1">
      <x:alignment wrapText="1"/>
    </x:xf>
    <x:xf numFmtId="0" fontId="20" fillId="33" borderId="0" xfId="0" applyNumberFormat="1" applyFont="1" applyFill="1" applyBorder="1"/>
    <x:xf numFmtId="0" fontId="20" fillId="33" borderId="0" xfId="0" applyNumberFormat="1" applyFont="1" applyFill="1" applyBorder="1" applyAlignment="1">
      <x:alignment horizontal="center"/>
    </x:xf>
    <x:xf numFmtId="0" fontId="20" fillId="33" borderId="0" xfId="0" applyNumberFormat="1" applyFont="1" applyFill="1" applyBorder="1" applyAlignment="1">
      <x:alignment horizontal="center" vertical="center"/>
    </x:xf>
    <x:xf numFmtId="0" fontId="20" fillId="33" borderId="10" xfId="0" applyNumberFormat="1" applyFont="1" applyFill="1" applyBorder="1"/>
    <x:xf numFmtId="0" fontId="20" fillId="33" borderId="10" xfId="0" applyNumberFormat="1" applyFont="1" applyFill="1" applyBorder="1" applyAlignment="1">
      <x:alignment horizontal="center"/>
    </x:xf>
    <x:xf numFmtId="0" fontId="20" fillId="33" borderId="10" xfId="0" applyNumberFormat="1" applyFont="1" applyFill="1" applyBorder="1" applyAlignment="1">
      <x:alignment horizontal="center" vertical="center"/>
    </x:xf>
    <x:xf numFmtId="0" fontId="0" fillId="35" borderId="0" xfId="0" applyNumberFormat="1" applyFont="1" applyFill="1" applyBorder="1"/>
    <x:xf numFmtId="0" fontId="21" fillId="35" borderId="0" xfId="0" applyNumberFormat="1" applyFont="1" applyFill="1" applyBorder="1"/>
    <x:xf numFmtId="0" fontId="21" fillId="35" borderId="0" xfId="0" applyNumberFormat="1" applyFont="1" applyFill="1" applyBorder="1" applyAlignment="1">
      <x:alignment horizontal="center"/>
    </x:xf>
    <x:xf numFmtId="0" fontId="0" fillId="35" borderId="10" xfId="0" applyNumberFormat="1" applyFont="1" applyFill="1" applyBorder="1"/>
    <x:xf numFmtId="0" fontId="21" fillId="35" borderId="10" xfId="0" applyNumberFormat="1" applyFont="1" applyFill="1" applyBorder="1"/>
    <x:xf numFmtId="0" fontId="21" fillId="35" borderId="10" xfId="0" applyNumberFormat="1" applyFont="1" applyFill="1" applyBorder="1" applyAlignment="1">
      <x:alignment horizontal="center"/>
    </x:xf>
    <x:xf numFmtId="0" fontId="22" fillId="34" borderId="0" xfId="0" applyNumberFormat="1" applyFont="1" applyFill="1" applyBorder="1"/>
    <x:xf numFmtId="0" fontId="22" fillId="34" borderId="0" xfId="0" applyNumberFormat="1" applyFont="1" applyFill="1" applyBorder="1" applyAlignment="1">
      <x:alignment horizontal="center"/>
    </x:xf>
    <x:xf numFmtId="0" fontId="22" fillId="34" borderId="0" xfId="0" applyNumberFormat="1" applyFont="1" applyFill="1" applyBorder="1" applyAlignment="1">
      <x:alignment horizontal="center" vertical="center"/>
    </x:xf>
    <x:xf numFmtId="0" fontId="22" fillId="34" borderId="10" xfId="0" applyNumberFormat="1" applyFont="1" applyFill="1" applyBorder="1"/>
    <x:xf numFmtId="0" fontId="22" fillId="34" borderId="10" xfId="0" applyNumberFormat="1" applyFont="1" applyFill="1" applyBorder="1" applyAlignment="1">
      <x:alignment horizontal="center"/>
    </x:xf>
    <x:xf numFmtId="0" fontId="22" fillId="34" borderId="10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/>
    <x:xf numFmtId="0" fontId="23" fillId="36" borderId="0" xfId="0" applyNumberFormat="1" applyFont="1" applyFill="1" applyBorder="1"/>
    <x:xf numFmtId="0" fontId="23" fillId="36" borderId="11" xfId="0" applyNumberFormat="1" applyFont="1" applyFill="1" applyBorder="1"/>
    <x:xf numFmtId="0" fontId="23" fillId="36" borderId="12" xfId="0" applyNumberFormat="1" applyFont="1" applyFill="1" applyBorder="1"/>
    <x:xf numFmtId="0" fontId="23" fillId="36" borderId="13" xfId="0" applyNumberFormat="1" applyFont="1" applyFill="1" applyBorder="1"/>
    <x:xf numFmtId="0" fontId="23" fillId="36" borderId="14" xfId="0" applyNumberFormat="1" applyFont="1" applyFill="1" applyBorder="1"/>
    <x:xf numFmtId="0" fontId="23" fillId="36" borderId="15" xfId="0" applyNumberFormat="1" applyFont="1" applyFill="1" applyBorder="1"/>
    <x:xf numFmtId="0" fontId="23" fillId="36" borderId="16" xfId="0" applyNumberFormat="1" applyFont="1" applyFill="1" applyBorder="1"/>
    <x:xf numFmtId="0" fontId="23" fillId="36" borderId="11" xfId="0" applyNumberFormat="1" applyFont="1" applyFill="1" applyBorder="1" applyAlignment="1">
      <x:alignment horizontal="center"/>
    </x:xf>
    <x:xf numFmtId="0" fontId="23" fillId="36" borderId="12" xfId="0" applyNumberFormat="1" applyFont="1" applyFill="1" applyBorder="1" applyAlignment="1">
      <x:alignment horizontal="center"/>
    </x:xf>
    <x:xf numFmtId="0" fontId="23" fillId="36" borderId="13" xfId="0" applyNumberFormat="1" applyFont="1" applyFill="1" applyBorder="1" applyAlignment="1">
      <x:alignment horizontal="center"/>
    </x:xf>
    <x:xf numFmtId="0" fontId="23" fillId="36" borderId="14" xfId="0" applyNumberFormat="1" applyFont="1" applyFill="1" applyBorder="1" applyAlignment="1">
      <x:alignment horizontal="center"/>
    </x:xf>
    <x:xf numFmtId="0" fontId="23" fillId="36" borderId="15" xfId="0" applyNumberFormat="1" applyFont="1" applyFill="1" applyBorder="1" applyAlignment="1">
      <x:alignment horizontal="center"/>
    </x:xf>
    <x:xf numFmtId="0" fontId="23" fillId="36" borderId="16" xfId="0" applyNumberFormat="1" applyFont="1" applyFill="1" applyBorder="1" applyAlignment="1">
      <x:alignment horizontal="center"/>
    </x:xf>
    <x:xf numFmtId="0" fontId="23" fillId="36" borderId="11" xfId="0" applyNumberFormat="1" applyFont="1" applyFill="1" applyBorder="1" applyAlignment="1">
      <x:alignment horizontal="center" vertical="center"/>
    </x:xf>
    <x:xf numFmtId="0" fontId="23" fillId="36" borderId="12" xfId="0" applyNumberFormat="1" applyFont="1" applyFill="1" applyBorder="1" applyAlignment="1">
      <x:alignment horizontal="center" vertical="center"/>
    </x:xf>
    <x:xf numFmtId="0" fontId="23" fillId="36" borderId="13" xfId="0" applyNumberFormat="1" applyFont="1" applyFill="1" applyBorder="1" applyAlignment="1">
      <x:alignment horizontal="center" vertical="center"/>
    </x:xf>
    <x:xf numFmtId="0" fontId="23" fillId="36" borderId="14" xfId="0" applyNumberFormat="1" applyFont="1" applyFill="1" applyBorder="1" applyAlignment="1">
      <x:alignment horizontal="center" vertical="center"/>
    </x:xf>
    <x:xf numFmtId="0" fontId="23" fillId="36" borderId="15" xfId="0" applyNumberFormat="1" applyFont="1" applyFill="1" applyBorder="1" applyAlignment="1">
      <x:alignment horizontal="center" vertical="center"/>
    </x:xf>
    <x:xf numFmtId="0" fontId="23" fillId="36" borderId="16" xfId="0" applyNumberFormat="1" applyFont="1" applyFill="1" applyBorder="1" applyAlignment="1">
      <x:alignment horizontal="center" vertical="center"/>
    </x:xf>
    <x:xf numFmtId="0" fontId="0" fillId="36" borderId="10" xfId="0" applyNumberFormat="1" applyFont="1" applyFill="1" applyBorder="1"/>
    <x:xf numFmtId="0" fontId="23" fillId="36" borderId="10" xfId="0" applyNumberFormat="1" applyFont="1" applyFill="1" applyBorder="1"/>
    <x:xf numFmtId="0" fontId="23" fillId="36" borderId="17" xfId="0" applyNumberFormat="1" applyFont="1" applyFill="1" applyBorder="1"/>
    <x:xf numFmtId="0" fontId="23" fillId="36" borderId="18" xfId="0" applyNumberFormat="1" applyFont="1" applyFill="1" applyBorder="1"/>
    <x:xf numFmtId="0" fontId="23" fillId="36" borderId="19" xfId="0" applyNumberFormat="1" applyFont="1" applyFill="1" applyBorder="1"/>
    <x:xf numFmtId="0" fontId="23" fillId="36" borderId="20" xfId="0" applyNumberFormat="1" applyFont="1" applyFill="1" applyBorder="1"/>
    <x:xf numFmtId="0" fontId="23" fillId="36" borderId="21" xfId="0" applyNumberFormat="1" applyFont="1" applyFill="1" applyBorder="1"/>
    <x:xf numFmtId="0" fontId="23" fillId="36" borderId="22" xfId="0" applyNumberFormat="1" applyFont="1" applyFill="1" applyBorder="1"/>
    <x:xf numFmtId="0" fontId="23" fillId="36" borderId="17" xfId="0" applyNumberFormat="1" applyFont="1" applyFill="1" applyBorder="1" applyAlignment="1">
      <x:alignment horizontal="center"/>
    </x:xf>
    <x:xf numFmtId="0" fontId="23" fillId="36" borderId="18" xfId="0" applyNumberFormat="1" applyFont="1" applyFill="1" applyBorder="1" applyAlignment="1">
      <x:alignment horizontal="center"/>
    </x:xf>
    <x:xf numFmtId="0" fontId="23" fillId="36" borderId="19" xfId="0" applyNumberFormat="1" applyFont="1" applyFill="1" applyBorder="1" applyAlignment="1">
      <x:alignment horizontal="center"/>
    </x:xf>
    <x:xf numFmtId="0" fontId="23" fillId="36" borderId="20" xfId="0" applyNumberFormat="1" applyFont="1" applyFill="1" applyBorder="1" applyAlignment="1">
      <x:alignment horizontal="center"/>
    </x:xf>
    <x:xf numFmtId="0" fontId="23" fillId="36" borderId="21" xfId="0" applyNumberFormat="1" applyFont="1" applyFill="1" applyBorder="1" applyAlignment="1">
      <x:alignment horizontal="center"/>
    </x:xf>
    <x:xf numFmtId="0" fontId="23" fillId="36" borderId="22" xfId="0" applyNumberFormat="1" applyFont="1" applyFill="1" applyBorder="1" applyAlignment="1">
      <x:alignment horizontal="center"/>
    </x:xf>
    <x:xf numFmtId="0" fontId="23" fillId="36" borderId="17" xfId="0" applyNumberFormat="1" applyFont="1" applyFill="1" applyBorder="1" applyAlignment="1">
      <x:alignment horizontal="center" vertical="center"/>
    </x:xf>
    <x:xf numFmtId="0" fontId="23" fillId="36" borderId="18" xfId="0" applyNumberFormat="1" applyFont="1" applyFill="1" applyBorder="1" applyAlignment="1">
      <x:alignment horizontal="center" vertical="center"/>
    </x:xf>
    <x:xf numFmtId="0" fontId="23" fillId="36" borderId="19" xfId="0" applyNumberFormat="1" applyFont="1" applyFill="1" applyBorder="1" applyAlignment="1">
      <x:alignment horizontal="center" vertical="center"/>
    </x:xf>
    <x:xf numFmtId="0" fontId="23" fillId="36" borderId="20" xfId="0" applyNumberFormat="1" applyFont="1" applyFill="1" applyBorder="1" applyAlignment="1">
      <x:alignment horizontal="center" vertical="center"/>
    </x:xf>
    <x:xf numFmtId="0" fontId="23" fillId="36" borderId="21" xfId="0" applyNumberFormat="1" applyFont="1" applyFill="1" applyBorder="1" applyAlignment="1">
      <x:alignment horizontal="center" vertical="center"/>
    </x:xf>
    <x:xf numFmtId="0" fontId="23" fillId="36" borderId="22" xfId="0" applyNumberFormat="1" applyFont="1" applyFill="1" applyBorder="1" applyAlignment="1">
      <x:alignment horizontal="center" vertical="center"/>
    </x:xf>
    <x:xf numFmtId="201" fontId="23" fillId="36" borderId="11" xfId="0" applyNumberFormat="1" applyFont="1" applyFill="1" applyBorder="1" applyAlignment="1">
      <x:alignment horizontal="center" vertical="center"/>
    </x:xf>
    <x:xf numFmtId="201" fontId="23" fillId="36" borderId="17" xfId="0" applyNumberFormat="1" applyFont="1" applyFill="1" applyBorder="1" applyAlignment="1">
      <x:alignment horizontal="center" vertical="center"/>
    </x:xf>
    <x:xf numFmtId="202" fontId="23" fillId="36" borderId="11" xfId="0" applyNumberFormat="1" applyFont="1" applyFill="1" applyBorder="1" applyAlignment="1">
      <x:alignment horizontal="center" vertical="center"/>
    </x:xf>
    <x:xf numFmtId="202" fontId="23" fillId="36" borderId="17" xfId="0" applyNumberFormat="1" applyFont="1" applyFill="1" applyBorder="1" applyAlignment="1">
      <x:alignment horizontal="center" vertical="center"/>
    </x:xf>
    <x:xf numFmtId="203" fontId="23" fillId="36" borderId="11" xfId="0" applyNumberFormat="1" applyFont="1" applyFill="1" applyBorder="1" applyAlignment="1">
      <x:alignment horizontal="center" vertical="center"/>
    </x:xf>
    <x:xf numFmtId="203" fontId="23" fillId="36" borderId="17" xfId="0" applyNumberFormat="1" applyFont="1" applyFill="1" applyBorder="1" applyAlignment="1">
      <x:alignment horizontal="center" vertical="center"/>
    </x:xf>
    <x:xf numFmtId="0" fontId="24" fillId="33" borderId="0" xfId="0" applyNumberFormat="1" applyFont="1" applyFill="1" applyBorder="1"/>
    <x:xf numFmtId="0" fontId="24" fillId="33" borderId="0" xfId="0" applyNumberFormat="1" applyFont="1" applyFill="1" applyBorder="1" applyAlignment="1">
      <x:alignment horizontal="left"/>
    </x:xf>
    <x:xf numFmtId="0" fontId="24" fillId="33" borderId="10" xfId="0" applyNumberFormat="1" applyFont="1" applyFill="1" applyBorder="1"/>
    <x:xf numFmtId="0" fontId="24" fillId="33" borderId="10" xfId="0" applyNumberFormat="1" applyFont="1" applyFill="1" applyBorder="1" applyAlignment="1">
      <x:alignment horizontal="left"/>
    </x:xf>
    <x:xf numFmtId="0" fontId="25" fillId="35" borderId="0" xfId="0" applyNumberFormat="1" applyFont="1" applyFill="1" applyBorder="1"/>
    <x:xf numFmtId="0" fontId="25" fillId="35" borderId="0" xfId="0" applyNumberFormat="1" applyFont="1" applyFill="1" applyBorder="1" applyAlignment="1">
      <x:alignment wrapText="1"/>
    </x:xf>
    <x:xf numFmtId="0" fontId="25" fillId="35" borderId="0" xfId="0" applyNumberFormat="1" applyFont="1" applyFill="1" applyBorder="1" applyAlignment="1">
      <x:alignment horizontal="left" wrapText="1"/>
    </x:xf>
    <x:xf numFmtId="0" fontId="25" fillId="35" borderId="0" xfId="0" applyNumberFormat="1" applyFont="1" applyFill="1" applyBorder="1" applyAlignment="1">
      <x:alignment horizontal="left" vertical="center" wrapText="1"/>
    </x:xf>
    <x:xf numFmtId="0" fontId="25" fillId="35" borderId="10" xfId="0" applyNumberFormat="1" applyFont="1" applyFill="1" applyBorder="1"/>
    <x:xf numFmtId="0" fontId="25" fillId="35" borderId="10" xfId="0" applyNumberFormat="1" applyFont="1" applyFill="1" applyBorder="1" applyAlignment="1">
      <x:alignment wrapText="1"/>
    </x:xf>
    <x:xf numFmtId="0" fontId="25" fillId="35" borderId="10" xfId="0" applyNumberFormat="1" applyFont="1" applyFill="1" applyBorder="1" applyAlignment="1">
      <x:alignment horizontal="left" wrapText="1"/>
    </x:xf>
    <x:xf numFmtId="0" fontId="25" fillId="35" borderId="10" xfId="0" applyNumberFormat="1" applyFont="1" applyFill="1" applyBorder="1" applyAlignment="1">
      <x:alignment horizontal="left" vertical="center" wrapText="1"/>
    </x:xf>
    <x:xf numFmtId="0" fontId="20" fillId="36" borderId="0" xfId="0" applyNumberFormat="1" applyFont="1" applyFill="1" applyBorder="1" applyAlignment="1">
      <x:alignment horizontal="center" vertical="center"/>
    </x:xf>
    <x:xf numFmtId="0" fontId="21" fillId="36" borderId="0" xfId="0" applyNumberFormat="1" applyFont="1" applyFill="1" applyBorder="1" applyAlignment="1">
      <x:alignment horizontal="center"/>
    </x:xf>
    <x:xf numFmtId="0" fontId="22" fillId="36" borderId="0" xfId="0" applyNumberFormat="1" applyFont="1" applyFill="1" applyBorder="1" applyAlignment="1">
      <x:alignment horizontal="center" vertical="center"/>
    </x:xf>
    <x:xf numFmtId="0" fontId="24" fillId="36" borderId="0" xfId="0" applyNumberFormat="1" applyFont="1" applyFill="1" applyBorder="1" applyAlignment="1">
      <x:alignment horizontal="left"/>
    </x:xf>
    <x:xf numFmtId="0" fontId="25" fillId="36" borderId="0" xfId="0" applyNumberFormat="1" applyFont="1" applyFill="1" applyBorder="1" applyAlignment="1">
      <x:alignment horizontal="left" vertical="center" wrapText="1"/>
    </x:xf>
    <x:xf numFmtId="0" fontId="20" fillId="36" borderId="10" xfId="0" applyNumberFormat="1" applyFont="1" applyFill="1" applyBorder="1" applyAlignment="1">
      <x:alignment horizontal="center" vertical="center"/>
    </x:xf>
    <x:xf numFmtId="0" fontId="21" fillId="36" borderId="10" xfId="0" applyNumberFormat="1" applyFont="1" applyFill="1" applyBorder="1" applyAlignment="1">
      <x:alignment horizontal="center"/>
    </x:xf>
    <x:xf numFmtId="0" fontId="22" fillId="36" borderId="10" xfId="0" applyNumberFormat="1" applyFont="1" applyFill="1" applyBorder="1" applyAlignment="1">
      <x:alignment horizontal="center" vertical="center"/>
    </x:xf>
    <x:xf numFmtId="0" fontId="24" fillId="36" borderId="10" xfId="0" applyNumberFormat="1" applyFont="1" applyFill="1" applyBorder="1" applyAlignment="1">
      <x:alignment horizontal="left"/>
    </x:xf>
    <x:xf numFmtId="0" fontId="25" fillId="36" borderId="10" xfId="0" applyNumberFormat="1" applyFont="1" applyFill="1" applyBorder="1" applyAlignment="1">
      <x:alignment horizontal="left" vertical="center" wrapText="1"/>
    </x:xf>
    <x:xf numFmtId="201" fontId="23" fillId="37" borderId="11" xfId="0" applyNumberFormat="1" applyFont="1" applyFill="1" applyBorder="1" applyAlignment="1">
      <x:alignment horizontal="center" vertical="center"/>
    </x:xf>
    <x:xf numFmtId="0" fontId="23" fillId="37" borderId="12" xfId="0" applyNumberFormat="1" applyFont="1" applyFill="1" applyBorder="1" applyAlignment="1">
      <x:alignment horizontal="center" vertical="center"/>
    </x:xf>
    <x:xf numFmtId="0" fontId="23" fillId="37" borderId="13" xfId="0" applyNumberFormat="1" applyFont="1" applyFill="1" applyBorder="1" applyAlignment="1">
      <x:alignment horizontal="center" vertical="center"/>
    </x:xf>
    <x:xf numFmtId="0" fontId="23" fillId="37" borderId="14" xfId="0" applyNumberFormat="1" applyFont="1" applyFill="1" applyBorder="1" applyAlignment="1">
      <x:alignment horizontal="center" vertical="center"/>
    </x:xf>
    <x:xf numFmtId="0" fontId="23" fillId="37" borderId="15" xfId="0" applyNumberFormat="1" applyFont="1" applyFill="1" applyBorder="1" applyAlignment="1">
      <x:alignment horizontal="center" vertical="center"/>
    </x:xf>
    <x:xf numFmtId="0" fontId="23" fillId="37" borderId="16" xfId="0" applyNumberFormat="1" applyFont="1" applyFill="1" applyBorder="1" applyAlignment="1">
      <x:alignment horizontal="center" vertical="center"/>
    </x:xf>
    <x:xf numFmtId="201" fontId="23" fillId="37" borderId="17" xfId="0" applyNumberFormat="1" applyFont="1" applyFill="1" applyBorder="1" applyAlignment="1">
      <x:alignment horizontal="center" vertical="center"/>
    </x:xf>
    <x:xf numFmtId="0" fontId="23" fillId="37" borderId="18" xfId="0" applyNumberFormat="1" applyFont="1" applyFill="1" applyBorder="1" applyAlignment="1">
      <x:alignment horizontal="center" vertical="center"/>
    </x:xf>
    <x:xf numFmtId="0" fontId="23" fillId="37" borderId="19" xfId="0" applyNumberFormat="1" applyFont="1" applyFill="1" applyBorder="1" applyAlignment="1">
      <x:alignment horizontal="center" vertical="center"/>
    </x:xf>
    <x:xf numFmtId="0" fontId="23" fillId="37" borderId="20" xfId="0" applyNumberFormat="1" applyFont="1" applyFill="1" applyBorder="1" applyAlignment="1">
      <x:alignment horizontal="center" vertical="center"/>
    </x:xf>
    <x:xf numFmtId="0" fontId="23" fillId="37" borderId="21" xfId="0" applyNumberFormat="1" applyFont="1" applyFill="1" applyBorder="1" applyAlignment="1">
      <x:alignment horizontal="center" vertical="center"/>
    </x:xf>
    <x:xf numFmtId="0" fontId="23" fillId="37" borderId="22" xfId="0" applyNumberFormat="1" applyFont="1" applyFill="1" applyBorder="1" applyAlignment="1">
      <x:alignment horizontal="center" vertical="center"/>
    </x:xf>
    <x:xf numFmtId="202" fontId="23" fillId="37" borderId="11" xfId="0" applyNumberFormat="1" applyFont="1" applyFill="1" applyBorder="1" applyAlignment="1">
      <x:alignment horizontal="center" vertical="center"/>
    </x:xf>
    <x:xf numFmtId="202" fontId="23" fillId="37" borderId="17" xfId="0" applyNumberFormat="1" applyFont="1" applyFill="1" applyBorder="1" applyAlignment="1">
      <x:alignment horizontal="center" vertical="center"/>
    </x:xf>
    <x:xf numFmtId="203" fontId="23" fillId="37" borderId="11" xfId="0" applyNumberFormat="1" applyFont="1" applyFill="1" applyBorder="1" applyAlignment="1">
      <x:alignment horizontal="center" vertical="center"/>
    </x:xf>
    <x:xf numFmtId="203" fontId="23" fillId="37" borderId="1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15" fontId="0" fillId="0" borderId="0" xfId="0" applyNumberFormat="1" applyFont="1" applyFill="1" applyBorder="1"/>
    <x:xf numFmtId="3" fontId="0" fillId="0" borderId="0" xfId="0" applyNumberFormat="1" applyFont="1" applyFill="1" applyBorder="1"/>
    <x:xf numFmtId="0" fontId="0" fillId="38" borderId="0" xfId="0" applyNumberFormat="1" applyFont="1" applyFill="1" applyBorder="1"/>
    <x:xf numFmtId="0" fontId="18" fillId="38" borderId="0" xfId="0" applyNumberFormat="1" applyFont="1" applyFill="1" applyBorder="1"/>
    <x:xf numFmtId="0" fontId="18" fillId="38" borderId="0" xfId="0" applyNumberFormat="1" applyFont="1" applyFill="1" applyBorder="1" applyAlignment="1">
      <x:alignment horizontal="center"/>
    </x:xf>
    <x:xf numFmtId="0" fontId="18" fillId="38" borderId="0" xfId="0" applyNumberFormat="1" applyFont="1" applyFill="1" applyBorder="1" applyAlignment="1">
      <x:alignment horizontal="center" vertical="center"/>
    </x:xf>
    <x:xf numFmtId="207" fontId="0" fillId="0" borderId="0" xfId="0" applyNumberFormat="1" applyFont="1" applyFill="1" applyBorder="1"/>
    <x:xf numFmtId="0" fontId="26" fillId="38" borderId="0" xfId="0" applyNumberFormat="1" applyFont="1" applyFill="1" applyBorder="1"/>
    <x:xf numFmtId="0" fontId="26" fillId="38" borderId="0" xfId="0" applyNumberFormat="1" applyFont="1" applyFill="1" applyBorder="1" applyAlignment="1">
      <x:alignment horizontal="center"/>
    </x:xf>
    <x:xf numFmtId="0" fontId="26" fillId="38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27" fillId="39" borderId="0" xfId="0" applyNumberFormat="1" applyFont="1" applyFill="1" applyBorder="1"/>
    <x:xf numFmtId="0" fontId="27" fillId="39" borderId="0" xfId="0" applyNumberFormat="1" applyFont="1" applyFill="1" applyBorder="1" applyAlignment="1">
      <x:alignment horizontal="center"/>
    </x:xf>
    <x:xf numFmtId="0" fontId="0" fillId="40" borderId="0" xfId="0" applyNumberFormat="1" applyFont="1" applyFill="1" applyBorder="1"/>
    <x:xf numFmtId="0" fontId="18" fillId="40" borderId="0" xfId="0" applyNumberFormat="1" applyFont="1" applyFill="1" applyBorder="1"/>
    <x:xf numFmtId="0" fontId="0" fillId="41" borderId="0" xfId="0" applyNumberFormat="1" applyFont="1" applyFill="1" applyBorder="1"/>
    <x:xf numFmtId="0" fontId="28" fillId="41" borderId="0" xfId="0" applyNumberFormat="1" applyFont="1" applyFill="1" applyBorder="1"/>
    <x:xf numFmtId="0" fontId="18" fillId="40" borderId="0" xfId="0" applyNumberFormat="1" applyFont="1" applyFill="1" applyBorder="1" applyAlignment="1">
      <x:alignment horizontal="center"/>
    </x:xf>
    <x:xf numFmtId="0" fontId="29" fillId="39" borderId="0" xfId="0" applyNumberFormat="1" applyFont="1" applyFill="1" applyBorder="1"/>
    <x:xf numFmtId="0" fontId="29" fillId="39" borderId="0" xfId="0" applyNumberFormat="1" applyFont="1" applyFill="1" applyBorder="1" applyAlignment="1">
      <x:alignment horizontal="center"/>
    </x:xf>
    <x:xf numFmtId="201" fontId="29" fillId="39" borderId="0" xfId="0" applyNumberFormat="1" applyFont="1" applyFill="1" applyBorder="1" applyAlignment="1">
      <x:alignment horizontal="center"/>
    </x:xf>
    <x:xf numFmtId="202" fontId="29" fillId="39" borderId="0" xfId="0" applyNumberFormat="1" applyFont="1" applyFill="1" applyBorder="1" applyAlignment="1">
      <x:alignment horizontal="center"/>
    </x:xf>
    <x:xf numFmtId="205" fontId="29" fillId="39" borderId="0" xfId="0" applyNumberFormat="1" applyFont="1" applyFill="1" applyBorder="1" applyAlignment="1">
      <x:alignment horizontal="center"/>
    </x:xf>
    <x:xf numFmtId="0" fontId="27" fillId="39" borderId="0" xfId="0" applyNumberFormat="1" applyFont="1" applyFill="1" applyBorder="1" applyAlignment="1">
      <x:alignment wrapText="1"/>
    </x:xf>
    <x:xf numFmtId="0" fontId="18" fillId="40" borderId="0" xfId="0" applyNumberFormat="1" applyFont="1" applyFill="1" applyBorder="1" applyAlignment="1">
      <x:alignment wrapText="1"/>
    </x:xf>
    <x:xf numFmtId="0" fontId="30" fillId="39" borderId="0" xfId="0" applyNumberFormat="1" applyFont="1" applyFill="1" applyBorder="1"/>
    <x:xf numFmtId="207" fontId="30" fillId="39" borderId="0" xfId="0" applyNumberFormat="1" applyFont="1" applyFill="1" applyBorder="1"/>
    <x:xf numFmtId="201" fontId="0" fillId="39" borderId="0" xfId="0" applyNumberFormat="1" applyFont="1" applyFill="1" applyBorder="1"/>
    <x:xf numFmtId="202" fontId="0" fillId="39" borderId="0" xfId="0" applyNumberFormat="1" applyFont="1" applyFill="1" applyBorder="1"/>
    <x:xf numFmtId="205" fontId="0" fillId="39" borderId="0" xfId="0" applyNumberFormat="1" applyFont="1" applyFill="1" applyBorder="1"/>
    <x:xf numFmtId="0" fontId="27" fillId="39" borderId="0" xfId="0" applyNumberFormat="1" applyFont="1" applyFill="1" applyBorder="1" applyAlignment="1">
      <x:alignment vertical="center" wrapText="1"/>
    </x:xf>
    <x:xf numFmtId="0" fontId="30" fillId="39" borderId="0" xfId="0" applyNumberFormat="1" applyFont="1" applyFill="1" applyBorder="1" applyAlignment="1">
      <x:alignment horizontal="center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  <x:dxfs count="2">
    <x:dxf>
      <x:font>
        <x:b/>
      </x:font>
      <x:fill>
        <x:patternFill patternType="solid">
          <x:bgColor rgb="FFDDE8D5"/>
        </x:patternFill>
      </x:fill>
    </x:dxf>
    <x:dxf>
      <x:font>
        <x:b/>
      </x:font>
      <x:fill>
        <x:patternFill patternType="solid">
          <x:bgColor rgb="FFDDE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6bf6112c04ff4" /><Relationship Type="http://schemas.openxmlformats.org/officeDocument/2006/relationships/theme" Target="/xl/theme/theme1.xml" Id="R07a8a4e489614313" /><Relationship Type="http://schemas.openxmlformats.org/officeDocument/2006/relationships/sharedStrings" Target="/xl/sharedStrings.xml" Id="R3b6b661d36384b6e" /><Relationship Type="http://schemas.openxmlformats.org/officeDocument/2006/relationships/worksheet" Target="/xl/worksheets/sheet1.xml" Id="R6674d2263f3e4b9b" /><Relationship Type="http://schemas.openxmlformats.org/officeDocument/2006/relationships/worksheet" Target="/xl/worksheets/sheet2.xml" Id="R5ecabd614896476b" /><Relationship Type="http://schemas.openxmlformats.org/officeDocument/2006/relationships/worksheet" Target="/xl/worksheets/sheet3.xml" Id="R9d92d3bdc0a54ddc" /><Relationship Type="http://schemas.openxmlformats.org/officeDocument/2006/relationships/worksheet" Target="/xl/worksheets/sheet4.xml" Id="R2c808b4f582840fb" /><Relationship Type="http://schemas.openxmlformats.org/officeDocument/2006/relationships/worksheet" Target="/xl/worksheets/sheet5.xml" Id="Rbe8aba665f604dc6" /><Relationship Type="http://schemas.openxmlformats.org/officeDocument/2006/relationships/worksheet" Target="/xl/worksheets/sheet6.xml" Id="Ra1175dbf7d6e4619" /><Relationship Type="http://schemas.openxmlformats.org/officeDocument/2006/relationships/worksheet" Target="/xl/worksheets/sheet7.xml" Id="Rd9684817a02d4e88" /><Relationship Type="http://schemas.openxmlformats.org/officeDocument/2006/relationships/worksheet" Target="/xl/worksheets/sheet8.xml" Id="R70004c8ed83a4607" /><Relationship Type="http://schemas.openxmlformats.org/officeDocument/2006/relationships/worksheet" Target="/xl/worksheets/sheet9.xml" Id="R962d8f3fcd6944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0bd65c80b5484f" /><Relationship Type="http://schemas.openxmlformats.org/officeDocument/2006/relationships/chart" Target="/xl/drawings/charts/chart2.xml" Id="R47601aee5cbd4f0b" /><Relationship Type="http://schemas.openxmlformats.org/officeDocument/2006/relationships/chart" Target="/xl/drawings/charts/chart3.xml" Id="Rd8af4a5f1db24a8b" /><Relationship Type="http://schemas.openxmlformats.org/officeDocument/2006/relationships/chart" Target="/xl/drawings/charts/chart4.xml" Id="Re0847345be804a1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7413e95ae5664594" /><Relationship Type="http://schemas.openxmlformats.org/officeDocument/2006/relationships/chart" Target="/xl/drawings/charts/chart6.xml" Id="R0454b47543a740e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324a7884e52c4f7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5 Products by Revenue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Revenue</c:v>
          </c:tx>
          <c:cat>
            <c:strRef>
              <c:f>'Summary'!$A$12:$A$16</c:f>
              <c:strCache>
                <c:ptCount val="0"/>
              </c:strCache>
            </c:strRef>
          </c:cat>
          <c:val>
            <c:numRef>
              <c:f>'Summary'!$B$12:$B$16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Country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Revenue</c:v>
          </c:tx>
          <c:cat>
            <c:strRef>
              <c:f>'Summary'!$D$4:$D$9</c:f>
              <c:strCache>
                <c:ptCount val="0"/>
              </c:strCache>
            </c:strRef>
          </c:cat>
          <c:val>
            <c:numRef>
              <c:f>'Summary'!$E$4:$E$9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Trend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'Summary'!$J$4:$J$11</c:f>
              <c:strCache>
                <c:ptCount val="0"/>
              </c:strCache>
            </c:strRef>
          </c:cat>
          <c:val>
            <c:numRef>
              <c:f>'Summary'!$K$4:$K$11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5 Sales Reps by Revenue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Revenue</c:v>
          </c:tx>
          <c:cat>
            <c:strRef>
              <c:f>'Summary'!$F$14:$F$18</c:f>
              <c:strCache>
                <c:ptCount val="0"/>
              </c:strCache>
            </c:strRef>
          </c:cat>
          <c:val>
            <c:numRef>
              <c:f>'Summary'!$G$14:$G$18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— Selected Filters</a:t>
            </a:r>
          </a:p>
        </c:rich>
      </c:tx>
    </c:title>
    <c:plotArea>
      <c:lineChart>
        <c:grouping val="standard"/>
        <c:ser>
          <c:idx val="0"/>
          <c:order val="0"/>
          <c:tx>
            <c:v>Filtered Revenue</c:v>
          </c:tx>
          <c:marker>
            <c:symbol val="none"/>
          </c:marker>
          <c:cat>
            <c:strRef>
              <c:f>'Interactive View'!$B$11:$B$18</c:f>
              <c:strCache>
                <c:ptCount val="0"/>
              </c:strCache>
            </c:strRef>
          </c:cat>
          <c:val>
            <c:numRef>
              <c:f>'Interactive View'!$C$11:$C$18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Orders — Selected Filters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Filtered Orders</c:v>
          </c:tx>
          <c:cat>
            <c:strRef>
              <c:f>'Interactive View'!$F$11:$F$18</c:f>
              <c:strCache>
                <c:ptCount val="0"/>
              </c:strCache>
            </c:strRef>
          </c:cat>
          <c:val>
            <c:numRef>
              <c:f>'Interactive View'!$G$11:$G$18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vs Target Revenue by Country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Current Revenue</c:v>
          </c:tx>
          <c:cat>
            <c:strRef>
              <c:f>'Scenario Planning'!$A$16:$A$21</c:f>
              <c:strCache>
                <c:ptCount val="0"/>
              </c:strCache>
            </c:strRef>
          </c:cat>
          <c:val>
            <c:numRef>
              <c:f>'Scenario Planning'!$B$16:$B$21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Target Revenue</c:v>
          </c:tx>
          <c:cat>
            <c:strRef>
              <c:f>'Scenario Planning'!$A$16:$A$21</c:f>
              <c:strCache>
                <c:ptCount val="0"/>
              </c:strCache>
            </c:strRef>
          </c:cat>
          <c:val>
            <c:numRef>
              <c:f>'Scenario Planning'!$C$16:$C$21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0bd65c80b5484f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601aee5cbd4f0b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7</xdr:col>
      <xdr:colOff>0</xdr:colOff>
      <xdr:row>36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af4a5f1db24a8b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847345be804a1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13e95ae5664594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54b47543a740e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4a7884e52c4f7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awSalesData" displayName="RawSalesData" ref="A1:F1095" headerRowCount="1" totalsRowCount="0" totalsRowShown="0">
  <x:tableColumns count="6">
    <x:tableColumn id="1" name="Sales Person"/>
    <x:tableColumn id="2" name="Country"/>
    <x:tableColumn id="3" name="Product"/>
    <x:tableColumn id="4" name="Date"/>
    <x:tableColumn id="5" name="Amount"/>
    <x:tableColumn id="6" name="Boxes Shipp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hocolateSalesAnalysis" displayName="ChocolateSalesAnalysis" ref="A1:K1095" headerRowCount="1" totalsRowCount="0" totalsRowShown="0">
  <x:tableColumns count="11">
    <x:tableColumn id="1" name="Sales Person"/>
    <x:tableColumn id="2" name="Country"/>
    <x:tableColumn id="3" name="Product"/>
    <x:tableColumn id="4" name="Date"/>
    <x:tableColumn id="5" name="Revenue"/>
    <x:tableColumn id="6" name="Boxes Shipped"/>
    <x:tableColumn id="7" name="Revenue per Box"/>
    <x:tableColumn id="8" name="Month"/>
    <x:tableColumn id="9" name="Month No"/>
    <x:tableColumn id="10" name="Year"/>
    <x:tableColumn id="11" name="Order Siz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lesData" displayName="SalesData" ref="A1:K1095" headerRowCount="1" totalsRowCount="0" totalsRowShown="0">
  <x:tableColumns count="11">
    <x:tableColumn id="1" name="Sales Person"/>
    <x:tableColumn id="2" name="Country"/>
    <x:tableColumn id="3" name="Product"/>
    <x:tableColumn id="4" name="Date"/>
    <x:tableColumn id="5" name="Revenue"/>
    <x:tableColumn id="6" name="Boxes Shipped"/>
    <x:tableColumn id="7" name="Revenue per Box"/>
    <x:tableColumn id="8" name="Month"/>
    <x:tableColumn id="9" name="Month No"/>
    <x:tableColumn id="10" name="Year"/>
    <x:tableColumn id="11" name="Order Siz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6432156ba649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fb86cb299c48bf" /><Relationship Type="http://schemas.openxmlformats.org/officeDocument/2006/relationships/table" Target="/xl/tables/table3.xml" Id="Rcc5e26087b0e4d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82492cd08d845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3749b0c01b9647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3f8a0ecef6954dec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4" hidden="0" customWidth="1"/>
    <x:col min="3" max="3" width="24" hidden="0" customWidth="1"/>
    <x:col min="4" max="4" width="14" hidden="0" customWidth="1"/>
    <x:col min="5" max="5" width="15" hidden="0" customWidth="1"/>
    <x:col min="6" max="6" width="15" hidden="0" customWidth="1"/>
  </x:cols>
  <x:sheetData>
    <x:row r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</x:row>
    <x:row r="2">
      <x:c r="A2" t="s">
        <x:v>6</x:v>
      </x:c>
      <x:c r="B2" t="s">
        <x:v>7</x:v>
      </x:c>
      <x:c r="C2" t="s">
        <x:v>8</x:v>
      </x:c>
      <x:c r="D2" s="14">
        <x:v>44565</x:v>
      </x:c>
      <x:c r="E2" s="16">
        <x:v>5320</x:v>
      </x:c>
      <x:c r="F2" s="18">
        <x:v>180</x:v>
      </x:c>
    </x:row>
    <x:row r="3">
      <x:c r="A3" t="s">
        <x:v>9</x:v>
      </x:c>
      <x:c r="B3" t="s">
        <x:v>10</x:v>
      </x:c>
      <x:c r="C3" t="s">
        <x:v>11</x:v>
      </x:c>
      <x:c r="D3" s="14">
        <x:v>44774</x:v>
      </x:c>
      <x:c r="E3" s="16">
        <x:v>7896</x:v>
      </x:c>
      <x:c r="F3" s="18">
        <x:v>94</x:v>
      </x:c>
    </x:row>
    <x:row r="4">
      <x:c r="A4" t="s">
        <x:v>12</x:v>
      </x:c>
      <x:c r="B4" t="s">
        <x:v>10</x:v>
      </x:c>
      <x:c r="C4" t="s">
        <x:v>13</x:v>
      </x:c>
      <x:c r="D4" s="14">
        <x:v>44749</x:v>
      </x:c>
      <x:c r="E4" s="16">
        <x:v>4501</x:v>
      </x:c>
      <x:c r="F4" s="18">
        <x:v>91</x:v>
      </x:c>
    </x:row>
    <x:row r="5">
      <x:c r="A5" t="s">
        <x:v>14</x:v>
      </x:c>
      <x:c r="B5" t="s">
        <x:v>15</x:v>
      </x:c>
      <x:c r="C5" t="s">
        <x:v>13</x:v>
      </x:c>
      <x:c r="D5" s="14">
        <x:v>44678</x:v>
      </x:c>
      <x:c r="E5" s="16">
        <x:v>12726</x:v>
      </x:c>
      <x:c r="F5" s="18">
        <x:v>342</x:v>
      </x:c>
    </x:row>
    <x:row r="6">
      <x:c r="A6" t="s">
        <x:v>6</x:v>
      </x:c>
      <x:c r="B6" t="s">
        <x:v>7</x:v>
      </x:c>
      <x:c r="C6" t="s">
        <x:v>13</x:v>
      </x:c>
      <x:c r="D6" s="14">
        <x:v>44616</x:v>
      </x:c>
      <x:c r="E6" s="16">
        <x:v>13685</x:v>
      </x:c>
      <x:c r="F6" s="18">
        <x:v>184</x:v>
      </x:c>
    </x:row>
    <x:row r="7">
      <x:c r="A7" t="s">
        <x:v>9</x:v>
      </x:c>
      <x:c r="B7" t="s">
        <x:v>10</x:v>
      </x:c>
      <x:c r="C7" t="s">
        <x:v>16</x:v>
      </x:c>
      <x:c r="D7" s="14">
        <x:v>44718</x:v>
      </x:c>
      <x:c r="E7" s="16">
        <x:v>5376</x:v>
      </x:c>
      <x:c r="F7" s="18">
        <x:v>38</x:v>
      </x:c>
    </x:row>
    <x:row r="8">
      <x:c r="A8" t="s">
        <x:v>17</x:v>
      </x:c>
      <x:c r="B8" t="s">
        <x:v>7</x:v>
      </x:c>
      <x:c r="C8" t="s">
        <x:v>18</x:v>
      </x:c>
      <x:c r="D8" s="14">
        <x:v>44586</x:v>
      </x:c>
      <x:c r="E8" s="16">
        <x:v>13685</x:v>
      </x:c>
      <x:c r="F8" s="18">
        <x:v>176</x:v>
      </x:c>
    </x:row>
    <x:row r="9">
      <x:c r="A9" t="s">
        <x:v>19</x:v>
      </x:c>
      <x:c r="B9" t="s">
        <x:v>15</x:v>
      </x:c>
      <x:c r="C9" t="s">
        <x:v>20</x:v>
      </x:c>
      <x:c r="D9" s="14">
        <x:v>44644</x:v>
      </x:c>
      <x:c r="E9" s="16">
        <x:v>3080</x:v>
      </x:c>
      <x:c r="F9" s="18">
        <x:v>73</x:v>
      </x:c>
    </x:row>
    <x:row r="10">
      <x:c r="A10" t="s">
        <x:v>6</x:v>
      </x:c>
      <x:c r="B10" t="s">
        <x:v>21</x:v>
      </x:c>
      <x:c r="C10" t="s">
        <x:v>22</x:v>
      </x:c>
      <x:c r="D10" s="14">
        <x:v>44671</x:v>
      </x:c>
      <x:c r="E10" s="16">
        <x:v>3990</x:v>
      </x:c>
      <x:c r="F10" s="18">
        <x:v>59</x:v>
      </x:c>
    </x:row>
    <x:row r="11">
      <x:c r="A11" t="s">
        <x:v>23</x:v>
      </x:c>
      <x:c r="B11" t="s">
        <x:v>15</x:v>
      </x:c>
      <x:c r="C11" t="s">
        <x:v>18</x:v>
      </x:c>
      <x:c r="D11" s="14">
        <x:v>44746</x:v>
      </x:c>
      <x:c r="E11" s="16">
        <x:v>2835</x:v>
      </x:c>
      <x:c r="F11" s="18">
        <x:v>102</x:v>
      </x:c>
    </x:row>
    <x:row r="12">
      <x:c r="A12" t="s">
        <x:v>24</x:v>
      </x:c>
      <x:c r="B12" t="s">
        <x:v>7</x:v>
      </x:c>
      <x:c r="C12" t="s">
        <x:v>16</x:v>
      </x:c>
      <x:c r="D12" s="14">
        <x:v>44574</x:v>
      </x:c>
      <x:c r="E12" s="16">
        <x:v>4704</x:v>
      </x:c>
      <x:c r="F12" s="18">
        <x:v>62</x:v>
      </x:c>
    </x:row>
    <x:row r="13">
      <x:c r="A13" t="s">
        <x:v>25</x:v>
      </x:c>
      <x:c r="B13" t="s">
        <x:v>26</x:v>
      </x:c>
      <x:c r="C13" t="s">
        <x:v>27</x:v>
      </x:c>
      <x:c r="D13" s="14">
        <x:v>44630</x:v>
      </x:c>
      <x:c r="E13" s="16">
        <x:v>3703</x:v>
      </x:c>
      <x:c r="F13" s="18">
        <x:v>11</x:v>
      </x:c>
    </x:row>
    <x:row r="14">
      <x:c r="A14" t="s">
        <x:v>28</x:v>
      </x:c>
      <x:c r="B14" t="s">
        <x:v>29</x:v>
      </x:c>
      <x:c r="C14" t="s">
        <x:v>30</x:v>
      </x:c>
      <x:c r="D14" s="14">
        <x:v>44574</x:v>
      </x:c>
      <x:c r="E14" s="16">
        <x:v>1442</x:v>
      </x:c>
      <x:c r="F14" s="18">
        <x:v>286</x:v>
      </x:c>
    </x:row>
    <x:row r="15">
      <x:c r="A15" t="s">
        <x:v>31</x:v>
      </x:c>
      <x:c r="B15" t="s">
        <x:v>21</x:v>
      </x:c>
      <x:c r="C15" t="s">
        <x:v>32</x:v>
      </x:c>
      <x:c r="D15" s="14">
        <x:v>44770</x:v>
      </x:c>
      <x:c r="E15" s="16">
        <x:v>168</x:v>
      </x:c>
      <x:c r="F15" s="18">
        <x:v>156</x:v>
      </x:c>
    </x:row>
    <x:row r="16">
      <x:c r="A16" t="s">
        <x:v>33</x:v>
      </x:c>
      <x:c r="B16" t="s">
        <x:v>21</x:v>
      </x:c>
      <x:c r="C16" t="s">
        <x:v>13</x:v>
      </x:c>
      <x:c r="D16" s="14">
        <x:v>44776</x:v>
      </x:c>
      <x:c r="E16" s="16">
        <x:v>8379</x:v>
      </x:c>
      <x:c r="F16" s="18">
        <x:v>173</x:v>
      </x:c>
    </x:row>
    <x:row r="17">
      <x:c r="A17" t="s">
        <x:v>34</x:v>
      </x:c>
      <x:c r="B17" t="s">
        <x:v>15</x:v>
      </x:c>
      <x:c r="C17" t="s">
        <x:v>35</x:v>
      </x:c>
      <x:c r="D17" s="14">
        <x:v>44587</x:v>
      </x:c>
      <x:c r="E17" s="16">
        <x:v>6790</x:v>
      </x:c>
      <x:c r="F17" s="18">
        <x:v>356</x:v>
      </x:c>
    </x:row>
    <x:row r="18">
      <x:c r="A18" t="s">
        <x:v>9</x:v>
      </x:c>
      <x:c r="B18" t="s">
        <x:v>29</x:v>
      </x:c>
      <x:c r="C18" t="s">
        <x:v>35</x:v>
      </x:c>
      <x:c r="D18" s="14">
        <x:v>44606</x:v>
      </x:c>
      <x:c r="E18" s="16">
        <x:v>4067</x:v>
      </x:c>
      <x:c r="F18" s="18">
        <x:v>42</x:v>
      </x:c>
    </x:row>
    <x:row r="19">
      <x:c r="A19" t="s">
        <x:v>36</x:v>
      </x:c>
      <x:c r="B19" t="s">
        <x:v>26</x:v>
      </x:c>
      <x:c r="C19" t="s">
        <x:v>16</x:v>
      </x:c>
      <x:c r="D19" s="14">
        <x:v>44656</x:v>
      </x:c>
      <x:c r="E19" s="16">
        <x:v>3017</x:v>
      </x:c>
      <x:c r="F19" s="18">
        <x:v>140</x:v>
      </x:c>
    </x:row>
    <x:row r="20">
      <x:c r="A20" t="s">
        <x:v>34</x:v>
      </x:c>
      <x:c r="B20" t="s">
        <x:v>29</x:v>
      </x:c>
      <x:c r="C20" t="s">
        <x:v>37</x:v>
      </x:c>
      <x:c r="D20" s="14">
        <x:v>44608</x:v>
      </x:c>
      <x:c r="E20" s="16">
        <x:v>8799</x:v>
      </x:c>
      <x:c r="F20" s="18">
        <x:v>250</x:v>
      </x:c>
    </x:row>
    <x:row r="21">
      <x:c r="A21" t="s">
        <x:v>38</x:v>
      </x:c>
      <x:c r="B21" t="s">
        <x:v>7</x:v>
      </x:c>
      <x:c r="C21" t="s">
        <x:v>11</x:v>
      </x:c>
      <x:c r="D21" s="14">
        <x:v>44720</x:v>
      </x:c>
      <x:c r="E21" s="16">
        <x:v>1085</x:v>
      </x:c>
      <x:c r="F21" s="18">
        <x:v>172</x:v>
      </x:c>
    </x:row>
    <x:row r="22">
      <x:c r="A22" t="s">
        <x:v>23</x:v>
      </x:c>
      <x:c r="B22" t="s">
        <x:v>15</x:v>
      </x:c>
      <x:c r="C22" t="s">
        <x:v>30</x:v>
      </x:c>
      <x:c r="D22" s="14">
        <x:v>44739</x:v>
      </x:c>
      <x:c r="E22" s="16">
        <x:v>6888</x:v>
      </x:c>
      <x:c r="F22" s="18">
        <x:v>88</x:v>
      </x:c>
    </x:row>
    <x:row r="23">
      <x:c r="A23" t="s">
        <x:v>19</x:v>
      </x:c>
      <x:c r="B23" t="s">
        <x:v>26</x:v>
      </x:c>
      <x:c r="C23" t="s">
        <x:v>39</x:v>
      </x:c>
      <x:c r="D23" s="14">
        <x:v>44609</x:v>
      </x:c>
      <x:c r="E23" s="16">
        <x:v>1267</x:v>
      </x:c>
      <x:c r="F23" s="18">
        <x:v>157</x:v>
      </x:c>
    </x:row>
    <x:row r="24">
      <x:c r="A24" t="s">
        <x:v>33</x:v>
      </x:c>
      <x:c r="B24" t="s">
        <x:v>26</x:v>
      </x:c>
      <x:c r="C24" t="s">
        <x:v>20</x:v>
      </x:c>
      <x:c r="D24" s="14">
        <x:v>44711</x:v>
      </x:c>
      <x:c r="E24" s="16">
        <x:v>4753</x:v>
      </x:c>
      <x:c r="F24" s="18">
        <x:v>163</x:v>
      </x:c>
    </x:row>
    <x:row r="25">
      <x:c r="A25" t="s">
        <x:v>40</x:v>
      </x:c>
      <x:c r="B25" t="s">
        <x:v>7</x:v>
      </x:c>
      <x:c r="C25" t="s">
        <x:v>32</x:v>
      </x:c>
      <x:c r="D25" s="14">
        <x:v>44634</x:v>
      </x:c>
      <x:c r="E25" s="16">
        <x:v>3003</x:v>
      </x:c>
      <x:c r="F25" s="18">
        <x:v>113</x:v>
      </x:c>
    </x:row>
    <x:row r="26">
      <x:c r="A26" t="s">
        <x:v>41</x:v>
      </x:c>
      <x:c r="B26" t="s">
        <x:v>15</x:v>
      </x:c>
      <x:c r="C26" t="s">
        <x:v>30</x:v>
      </x:c>
      <x:c r="D26" s="14">
        <x:v>44620</x:v>
      </x:c>
      <x:c r="E26" s="16">
        <x:v>7672</x:v>
      </x:c>
      <x:c r="F26" s="18">
        <x:v>115</x:v>
      </x:c>
    </x:row>
    <x:row r="27">
      <x:c r="A27" t="s">
        <x:v>31</x:v>
      </x:c>
      <x:c r="B27" t="s">
        <x:v>10</x:v>
      </x:c>
      <x:c r="C27" t="s">
        <x:v>42</x:v>
      </x:c>
      <x:c r="D27" s="14">
        <x:v>44587</x:v>
      </x:c>
      <x:c r="E27" s="16">
        <x:v>168</x:v>
      </x:c>
      <x:c r="F27" s="18">
        <x:v>321</x:v>
      </x:c>
    </x:row>
    <x:row r="28">
      <x:c r="A28" t="s">
        <x:v>36</x:v>
      </x:c>
      <x:c r="B28" t="s">
        <x:v>29</x:v>
      </x:c>
      <x:c r="C28" t="s">
        <x:v>39</x:v>
      </x:c>
      <x:c r="D28" s="14">
        <x:v>44601</x:v>
      </x:c>
      <x:c r="E28" s="16">
        <x:v>1652</x:v>
      </x:c>
      <x:c r="F28" s="18">
        <x:v>186</x:v>
      </x:c>
    </x:row>
    <x:row r="29">
      <x:c r="A29" t="s">
        <x:v>40</x:v>
      </x:c>
      <x:c r="B29" t="s">
        <x:v>26</x:v>
      </x:c>
      <x:c r="C29" t="s">
        <x:v>30</x:v>
      </x:c>
      <x:c r="D29" s="14">
        <x:v>44749</x:v>
      </x:c>
      <x:c r="E29" s="16">
        <x:v>4025</x:v>
      </x:c>
      <x:c r="F29" s="18">
        <x:v>112</x:v>
      </x:c>
    </x:row>
    <x:row r="30">
      <x:c r="A30" t="s">
        <x:v>43</x:v>
      </x:c>
      <x:c r="B30" t="s">
        <x:v>21</x:v>
      </x:c>
      <x:c r="C30" t="s">
        <x:v>44</x:v>
      </x:c>
      <x:c r="D30" s="14">
        <x:v>44747</x:v>
      </x:c>
      <x:c r="E30" s="16">
        <x:v>9492</x:v>
      </x:c>
      <x:c r="F30" s="18">
        <x:v>151</x:v>
      </x:c>
    </x:row>
    <x:row r="31">
      <x:c r="A31" t="s">
        <x:v>43</x:v>
      </x:c>
      <x:c r="B31" t="s">
        <x:v>21</x:v>
      </x:c>
      <x:c r="C31" t="s">
        <x:v>45</x:v>
      </x:c>
      <x:c r="D31" s="14">
        <x:v>44727</x:v>
      </x:c>
      <x:c r="E31" s="16">
        <x:v>5061</x:v>
      </x:c>
      <x:c r="F31" s="18">
        <x:v>301</x:v>
      </x:c>
    </x:row>
    <x:row r="32">
      <x:c r="A32" t="s">
        <x:v>9</x:v>
      </x:c>
      <x:c r="B32" t="s">
        <x:v>21</x:v>
      </x:c>
      <x:c r="C32" t="s">
        <x:v>11</x:v>
      </x:c>
      <x:c r="D32" s="14">
        <x:v>44705</x:v>
      </x:c>
      <x:c r="E32" s="16">
        <x:v>1722</x:v>
      </x:c>
      <x:c r="F32" s="18">
        <x:v>121</x:v>
      </x:c>
    </x:row>
    <x:row r="33">
      <x:c r="A33" t="s">
        <x:v>24</x:v>
      </x:c>
      <x:c r="B33" t="s">
        <x:v>7</x:v>
      </x:c>
      <x:c r="C33" t="s">
        <x:v>18</x:v>
      </x:c>
      <x:c r="D33" s="14">
        <x:v>44741</x:v>
      </x:c>
      <x:c r="E33" s="16">
        <x:v>12446</x:v>
      </x:c>
      <x:c r="F33" s="18">
        <x:v>150</x:v>
      </x:c>
    </x:row>
    <x:row r="34">
      <x:c r="A34" t="s">
        <x:v>46</x:v>
      </x:c>
      <x:c r="B34" t="s">
        <x:v>15</x:v>
      </x:c>
      <x:c r="C34" t="s">
        <x:v>45</x:v>
      </x:c>
      <x:c r="D34" s="14">
        <x:v>44692</x:v>
      </x:c>
      <x:c r="E34" s="16">
        <x:v>4284</x:v>
      </x:c>
      <x:c r="F34" s="18">
        <x:v>94</x:v>
      </x:c>
    </x:row>
    <x:row r="35">
      <x:c r="A35" t="s">
        <x:v>31</x:v>
      </x:c>
      <x:c r="B35" t="s">
        <x:v>7</x:v>
      </x:c>
      <x:c r="C35" t="s">
        <x:v>47</x:v>
      </x:c>
      <x:c r="D35" s="14">
        <x:v>44742</x:v>
      </x:c>
      <x:c r="E35" s="16">
        <x:v>6839</x:v>
      </x:c>
      <x:c r="F35" s="18">
        <x:v>133</x:v>
      </x:c>
    </x:row>
    <x:row r="36">
      <x:c r="A36" t="s">
        <x:v>48</x:v>
      </x:c>
      <x:c r="B36" t="s">
        <x:v>29</x:v>
      </x:c>
      <x:c r="C36" t="s">
        <x:v>20</x:v>
      </x:c>
      <x:c r="D36" s="14">
        <x:v>44692</x:v>
      </x:c>
      <x:c r="E36" s="16">
        <x:v>2163</x:v>
      </x:c>
      <x:c r="F36" s="18">
        <x:v>70</x:v>
      </x:c>
    </x:row>
    <x:row r="37">
      <x:c r="A37" t="s">
        <x:v>36</x:v>
      </x:c>
      <x:c r="B37" t="s">
        <x:v>26</x:v>
      </x:c>
      <x:c r="C37" t="s">
        <x:v>45</x:v>
      </x:c>
      <x:c r="D37" s="14">
        <x:v>44764</x:v>
      </x:c>
      <x:c r="E37" s="16">
        <x:v>9583</x:v>
      </x:c>
      <x:c r="F37" s="18">
        <x:v>315</x:v>
      </x:c>
    </x:row>
    <x:row r="38">
      <x:c r="A38" t="s">
        <x:v>48</x:v>
      </x:c>
      <x:c r="B38" t="s">
        <x:v>7</x:v>
      </x:c>
      <x:c r="C38" t="s">
        <x:v>22</x:v>
      </x:c>
      <x:c r="D38" s="14">
        <x:v>44797</x:v>
      </x:c>
      <x:c r="E38" s="16">
        <x:v>2653</x:v>
      </x:c>
      <x:c r="F38" s="18">
        <x:v>314</x:v>
      </x:c>
    </x:row>
    <x:row r="39">
      <x:c r="A39" t="s">
        <x:v>49</x:v>
      </x:c>
      <x:c r="B39" t="s">
        <x:v>21</x:v>
      </x:c>
      <x:c r="C39" t="s">
        <x:v>20</x:v>
      </x:c>
      <x:c r="D39" s="14">
        <x:v>44749</x:v>
      </x:c>
      <x:c r="E39" s="16">
        <x:v>147</x:v>
      </x:c>
      <x:c r="F39" s="18">
        <x:v>72</x:v>
      </x:c>
    </x:row>
    <x:row r="40">
      <x:c r="A40" t="s">
        <x:v>50</x:v>
      </x:c>
      <x:c r="B40" t="s">
        <x:v>15</x:v>
      </x:c>
      <x:c r="C40" t="s">
        <x:v>11</x:v>
      </x:c>
      <x:c r="D40" s="14">
        <x:v>44700</x:v>
      </x:c>
      <x:c r="E40" s="16">
        <x:v>3654</x:v>
      </x:c>
      <x:c r="F40" s="18">
        <x:v>14</x:v>
      </x:c>
    </x:row>
    <x:row r="41">
      <x:c r="A41" t="s">
        <x:v>31</x:v>
      </x:c>
      <x:c r="B41" t="s">
        <x:v>10</x:v>
      </x:c>
      <x:c r="C41" t="s">
        <x:v>45</x:v>
      </x:c>
      <x:c r="D41" s="14">
        <x:v>44746</x:v>
      </x:c>
      <x:c r="E41" s="16">
        <x:v>2443</x:v>
      </x:c>
      <x:c r="F41" s="18">
        <x:v>581</x:v>
      </x:c>
    </x:row>
    <x:row r="42">
      <x:c r="A42" t="s">
        <x:v>49</x:v>
      </x:c>
      <x:c r="B42" t="s">
        <x:v>26</x:v>
      </x:c>
      <x:c r="C42" t="s">
        <x:v>20</x:v>
      </x:c>
      <x:c r="D42" s="14">
        <x:v>44714</x:v>
      </x:c>
      <x:c r="E42" s="16">
        <x:v>938</x:v>
      </x:c>
      <x:c r="F42" s="18">
        <x:v>16</x:v>
      </x:c>
    </x:row>
    <x:row r="43">
      <x:c r="A43" t="s">
        <x:v>31</x:v>
      </x:c>
      <x:c r="B43" t="s">
        <x:v>26</x:v>
      </x:c>
      <x:c r="C43" t="s">
        <x:v>51</x:v>
      </x:c>
      <x:c r="D43" s="14">
        <x:v>44666</x:v>
      </x:c>
      <x:c r="E43" s="16">
        <x:v>14749</x:v>
      </x:c>
      <x:c r="F43" s="18">
        <x:v>354</x:v>
      </x:c>
    </x:row>
    <x:row r="44">
      <x:c r="A44" t="s">
        <x:v>28</x:v>
      </x:c>
      <x:c r="B44" t="s">
        <x:v>29</x:v>
      </x:c>
      <x:c r="C44" t="s">
        <x:v>52</x:v>
      </x:c>
      <x:c r="D44" s="14">
        <x:v>44753</x:v>
      </x:c>
      <x:c r="E44" s="16">
        <x:v>4781</x:v>
      </x:c>
      <x:c r="F44" s="18">
        <x:v>241</x:v>
      </x:c>
    </x:row>
    <x:row r="45">
      <x:c r="A45" t="s">
        <x:v>48</x:v>
      </x:c>
      <x:c r="B45" t="s">
        <x:v>10</x:v>
      </x:c>
      <x:c r="C45" t="s">
        <x:v>39</x:v>
      </x:c>
      <x:c r="D45" s="14">
        <x:v>44615</x:v>
      </x:c>
      <x:c r="E45" s="16">
        <x:v>6307</x:v>
      </x:c>
      <x:c r="F45" s="18">
        <x:v>142</x:v>
      </x:c>
    </x:row>
    <x:row r="46">
      <x:c r="A46" t="s">
        <x:v>53</x:v>
      </x:c>
      <x:c r="B46" t="s">
        <x:v>29</x:v>
      </x:c>
      <x:c r="C46" t="s">
        <x:v>47</x:v>
      </x:c>
      <x:c r="D46" s="14">
        <x:v>44795</x:v>
      </x:c>
      <x:c r="E46" s="16">
        <x:v>7602</x:v>
      </x:c>
      <x:c r="F46" s="18">
        <x:v>102</x:v>
      </x:c>
    </x:row>
    <x:row r="47">
      <x:c r="A47" t="s">
        <x:v>41</x:v>
      </x:c>
      <x:c r="B47" t="s">
        <x:v>26</x:v>
      </x:c>
      <x:c r="C47" t="s">
        <x:v>13</x:v>
      </x:c>
      <x:c r="D47" s="14">
        <x:v>44608</x:v>
      </x:c>
      <x:c r="E47" s="16">
        <x:v>6790</x:v>
      </x:c>
      <x:c r="F47" s="18">
        <x:v>188</x:v>
      </x:c>
    </x:row>
    <x:row r="48">
      <x:c r="A48" t="s">
        <x:v>9</x:v>
      </x:c>
      <x:c r="B48" t="s">
        <x:v>26</x:v>
      </x:c>
      <x:c r="C48" t="s">
        <x:v>22</x:v>
      </x:c>
      <x:c r="D48" s="14">
        <x:v>44574</x:v>
      </x:c>
      <x:c r="E48" s="16">
        <x:v>9737</x:v>
      </x:c>
      <x:c r="F48" s="18">
        <x:v>160</x:v>
      </x:c>
    </x:row>
    <x:row r="49">
      <x:c r="A49" t="s">
        <x:v>38</x:v>
      </x:c>
      <x:c r="B49" t="s">
        <x:v>15</x:v>
      </x:c>
      <x:c r="C49" t="s">
        <x:v>37</x:v>
      </x:c>
      <x:c r="D49" s="14">
        <x:v>44606</x:v>
      </x:c>
      <x:c r="E49" s="16">
        <x:v>6979</x:v>
      </x:c>
      <x:c r="F49" s="18">
        <x:v>18</x:v>
      </x:c>
    </x:row>
    <x:row r="50">
      <x:c r="A50" t="s">
        <x:v>36</x:v>
      </x:c>
      <x:c r="B50" t="s">
        <x:v>10</x:v>
      </x:c>
      <x:c r="C50" t="s">
        <x:v>30</x:v>
      </x:c>
      <x:c r="D50" s="14">
        <x:v>44722</x:v>
      </x:c>
      <x:c r="E50" s="16">
        <x:v>4382</x:v>
      </x:c>
      <x:c r="F50" s="18">
        <x:v>303</x:v>
      </x:c>
    </x:row>
    <x:row r="51">
      <x:c r="A51" t="s">
        <x:v>38</x:v>
      </x:c>
      <x:c r="B51" t="s">
        <x:v>10</x:v>
      </x:c>
      <x:c r="C51" t="s">
        <x:v>42</x:v>
      </x:c>
      <x:c r="D51" s="14">
        <x:v>44749</x:v>
      </x:c>
      <x:c r="E51" s="16">
        <x:v>5243</x:v>
      </x:c>
      <x:c r="F51" s="18">
        <x:v>176</x:v>
      </x:c>
    </x:row>
    <x:row r="52">
      <x:c r="A52" t="s">
        <x:v>38</x:v>
      </x:c>
      <x:c r="B52" t="s">
        <x:v>29</x:v>
      </x:c>
      <x:c r="C52" t="s">
        <x:v>47</x:v>
      </x:c>
      <x:c r="D52" s="14">
        <x:v>44644</x:v>
      </x:c>
      <x:c r="E52" s="16">
        <x:v>4865</x:v>
      </x:c>
      <x:c r="F52" s="18">
        <x:v>70</x:v>
      </x:c>
    </x:row>
    <x:row r="53">
      <x:c r="A53" t="s">
        <x:v>23</x:v>
      </x:c>
      <x:c r="B53" t="s">
        <x:v>15</x:v>
      </x:c>
      <x:c r="C53" t="s">
        <x:v>42</x:v>
      </x:c>
      <x:c r="D53" s="14">
        <x:v>44718</x:v>
      </x:c>
      <x:c r="E53" s="16">
        <x:v>8575</x:v>
      </x:c>
      <x:c r="F53" s="18">
        <x:v>23</x:v>
      </x:c>
    </x:row>
    <x:row r="54">
      <x:c r="A54" t="s">
        <x:v>54</x:v>
      </x:c>
      <x:c r="B54" t="s">
        <x:v>15</x:v>
      </x:c>
      <x:c r="C54" t="s">
        <x:v>32</x:v>
      </x:c>
      <x:c r="D54" s="14">
        <x:v>44761</x:v>
      </x:c>
      <x:c r="E54" s="16">
        <x:v>91</x:v>
      </x:c>
      <x:c r="F54" s="18">
        <x:v>135</x:v>
      </x:c>
    </x:row>
    <x:row r="55">
      <x:c r="A55" t="s">
        <x:v>34</x:v>
      </x:c>
      <x:c r="B55" t="s">
        <x:v>26</x:v>
      </x:c>
      <x:c r="C55" t="s">
        <x:v>51</x:v>
      </x:c>
      <x:c r="D55" s="14">
        <x:v>44670</x:v>
      </x:c>
      <x:c r="E55" s="16">
        <x:v>14798</x:v>
      </x:c>
      <x:c r="F55" s="18">
        <x:v>83</x:v>
      </x:c>
    </x:row>
    <x:row r="56">
      <x:c r="A56" t="s">
        <x:v>33</x:v>
      </x:c>
      <x:c r="B56" t="s">
        <x:v>10</x:v>
      </x:c>
      <x:c r="C56" t="s">
        <x:v>11</x:v>
      </x:c>
      <x:c r="D56" s="14">
        <x:v>44761</x:v>
      </x:c>
      <x:c r="E56" s="16">
        <x:v>2205</x:v>
      </x:c>
      <x:c r="F56" s="18">
        <x:v>179</x:v>
      </x:c>
    </x:row>
    <x:row r="57">
      <x:c r="A57" t="s">
        <x:v>6</x:v>
      </x:c>
      <x:c r="B57" t="s">
        <x:v>29</x:v>
      </x:c>
      <x:c r="C57" t="s">
        <x:v>32</x:v>
      </x:c>
      <x:c r="D57" s="14">
        <x:v>44757</x:v>
      </x:c>
      <x:c r="E57" s="16">
        <x:v>441</x:v>
      </x:c>
      <x:c r="F57" s="18">
        <x:v>24</x:v>
      </x:c>
    </x:row>
    <x:row r="58">
      <x:c r="A58" t="s">
        <x:v>55</x:v>
      </x:c>
      <x:c r="B58" t="s">
        <x:v>21</x:v>
      </x:c>
      <x:c r="C58" t="s">
        <x:v>39</x:v>
      </x:c>
      <x:c r="D58" s="14">
        <x:v>44606</x:v>
      </x:c>
      <x:c r="E58" s="16">
        <x:v>3556</x:v>
      </x:c>
      <x:c r="F58" s="18">
        <x:v>18</x:v>
      </x:c>
    </x:row>
    <x:row r="59">
      <x:c r="A59" t="s">
        <x:v>23</x:v>
      </x:c>
      <x:c r="B59" t="s">
        <x:v>29</x:v>
      </x:c>
      <x:c r="C59" t="s">
        <x:v>18</x:v>
      </x:c>
      <x:c r="D59" s="14">
        <x:v>44699</x:v>
      </x:c>
      <x:c r="E59" s="16">
        <x:v>16793</x:v>
      </x:c>
      <x:c r="F59" s="18">
        <x:v>416</x:v>
      </x:c>
    </x:row>
    <x:row r="60">
      <x:c r="A60" t="s">
        <x:v>25</x:v>
      </x:c>
      <x:c r="B60" t="s">
        <x:v>15</x:v>
      </x:c>
      <x:c r="C60" t="s">
        <x:v>42</x:v>
      </x:c>
      <x:c r="D60" s="14">
        <x:v>44742</x:v>
      </x:c>
      <x:c r="E60" s="16">
        <x:v>15421</x:v>
      </x:c>
      <x:c r="F60" s="18">
        <x:v>55</x:v>
      </x:c>
    </x:row>
    <x:row r="61">
      <x:c r="A61" t="s">
        <x:v>48</x:v>
      </x:c>
      <x:c r="B61" t="s">
        <x:v>15</x:v>
      </x:c>
      <x:c r="C61" t="s">
        <x:v>22</x:v>
      </x:c>
      <x:c r="D61" s="14">
        <x:v>44714</x:v>
      </x:c>
      <x:c r="E61" s="16">
        <x:v>4438</x:v>
      </x:c>
      <x:c r="F61" s="18">
        <x:v>227</x:v>
      </x:c>
    </x:row>
    <x:row r="62">
      <x:c r="A62" t="s">
        <x:v>48</x:v>
      </x:c>
      <x:c r="B62" t="s">
        <x:v>15</x:v>
      </x:c>
      <x:c r="C62" t="s">
        <x:v>32</x:v>
      </x:c>
      <x:c r="D62" s="14">
        <x:v>44740</x:v>
      </x:c>
      <x:c r="E62" s="16">
        <x:v>1603</x:v>
      </x:c>
      <x:c r="F62" s="18">
        <x:v>48</x:v>
      </x:c>
    </x:row>
    <x:row r="63">
      <x:c r="A63" t="s">
        <x:v>33</x:v>
      </x:c>
      <x:c r="B63" t="s">
        <x:v>15</x:v>
      </x:c>
      <x:c r="C63" t="s">
        <x:v>35</x:v>
      </x:c>
      <x:c r="D63" s="14">
        <x:v>44697</x:v>
      </x:c>
      <x:c r="E63" s="16">
        <x:v>273</x:v>
      </x:c>
      <x:c r="F63" s="18">
        <x:v>174</x:v>
      </x:c>
    </x:row>
    <x:row r="64">
      <x:c r="A64" t="s">
        <x:v>49</x:v>
      </x:c>
      <x:c r="B64" t="s">
        <x:v>29</x:v>
      </x:c>
      <x:c r="C64" t="s">
        <x:v>56</x:v>
      </x:c>
      <x:c r="D64" s="14">
        <x:v>44707</x:v>
      </x:c>
      <x:c r="E64" s="16">
        <x:v>3073</x:v>
      </x:c>
      <x:c r="F64" s="18">
        <x:v>302</x:v>
      </x:c>
    </x:row>
    <x:row r="65">
      <x:c r="A65" t="s">
        <x:v>31</x:v>
      </x:c>
      <x:c r="B65" t="s">
        <x:v>10</x:v>
      </x:c>
      <x:c r="C65" t="s">
        <x:v>47</x:v>
      </x:c>
      <x:c r="D65" s="14">
        <x:v>44748</x:v>
      </x:c>
      <x:c r="E65" s="16">
        <x:v>6090</x:v>
      </x:c>
      <x:c r="F65" s="18">
        <x:v>149</x:v>
      </x:c>
    </x:row>
    <x:row r="66">
      <x:c r="A66" t="s">
        <x:v>17</x:v>
      </x:c>
      <x:c r="B66" t="s">
        <x:v>10</x:v>
      </x:c>
      <x:c r="C66" t="s">
        <x:v>18</x:v>
      </x:c>
      <x:c r="D66" s="14">
        <x:v>44708</x:v>
      </x:c>
      <x:c r="E66" s="16">
        <x:v>10255</x:v>
      </x:c>
      <x:c r="F66" s="18">
        <x:v>11</x:v>
      </x:c>
    </x:row>
    <x:row r="67">
      <x:c r="A67" t="s">
        <x:v>46</x:v>
      </x:c>
      <x:c r="B67" t="s">
        <x:v>15</x:v>
      </x:c>
      <x:c r="C67" t="s">
        <x:v>57</x:v>
      </x:c>
      <x:c r="D67" s="14">
        <x:v>44665</x:v>
      </x:c>
      <x:c r="E67" s="16">
        <x:v>2030</x:v>
      </x:c>
      <x:c r="F67" s="18">
        <x:v>11</x:v>
      </x:c>
    </x:row>
    <x:row r="68">
      <x:c r="A68" t="s">
        <x:v>9</x:v>
      </x:c>
      <x:c r="B68" t="s">
        <x:v>15</x:v>
      </x:c>
      <x:c r="C68" t="s">
        <x:v>35</x:v>
      </x:c>
      <x:c r="D68" s="14">
        <x:v>44783</x:v>
      </x:c>
      <x:c r="E68" s="16">
        <x:v>19453</x:v>
      </x:c>
      <x:c r="F68" s="18">
        <x:v>14</x:v>
      </x:c>
    </x:row>
    <x:row r="69">
      <x:c r="A69" t="s">
        <x:v>50</x:v>
      </x:c>
      <x:c r="B69" t="s">
        <x:v>10</x:v>
      </x:c>
      <x:c r="C69" t="s">
        <x:v>22</x:v>
      </x:c>
      <x:c r="D69" s="14">
        <x:v>44746</x:v>
      </x:c>
      <x:c r="E69" s="16">
        <x:v>9275</x:v>
      </x:c>
      <x:c r="F69" s="18">
        <x:v>411</x:v>
      </x:c>
    </x:row>
    <x:row r="70">
      <x:c r="A70" t="s">
        <x:v>17</x:v>
      </x:c>
      <x:c r="B70" t="s">
        <x:v>10</x:v>
      </x:c>
      <x:c r="C70" t="s">
        <x:v>35</x:v>
      </x:c>
      <x:c r="D70" s="14">
        <x:v>44750</x:v>
      </x:c>
      <x:c r="E70" s="16">
        <x:v>6181</x:v>
      </x:c>
      <x:c r="F70" s="18">
        <x:v>56</x:v>
      </x:c>
    </x:row>
    <x:row r="71">
      <x:c r="A71" t="s">
        <x:v>14</x:v>
      </x:c>
      <x:c r="B71" t="s">
        <x:v>26</x:v>
      </x:c>
      <x:c r="C71" t="s">
        <x:v>13</x:v>
      </x:c>
      <x:c r="D71" s="14">
        <x:v>44764</x:v>
      </x:c>
      <x:c r="E71" s="16">
        <x:v>9037</x:v>
      </x:c>
      <x:c r="F71" s="18">
        <x:v>102</x:v>
      </x:c>
    </x:row>
    <x:row r="72">
      <x:c r="A72" t="s">
        <x:v>12</x:v>
      </x:c>
      <x:c r="B72" t="s">
        <x:v>26</x:v>
      </x:c>
      <x:c r="C72" t="s">
        <x:v>52</x:v>
      </x:c>
      <x:c r="D72" s="14">
        <x:v>44622</x:v>
      </x:c>
      <x:c r="E72" s="16">
        <x:v>12313</x:v>
      </x:c>
      <x:c r="F72" s="18">
        <x:v>103</x:v>
      </x:c>
    </x:row>
    <x:row r="73">
      <x:c r="A73" t="s">
        <x:v>12</x:v>
      </x:c>
      <x:c r="B73" t="s">
        <x:v>7</x:v>
      </x:c>
      <x:c r="C73" t="s">
        <x:v>47</x:v>
      </x:c>
      <x:c r="D73" s="14">
        <x:v>44571</x:v>
      </x:c>
      <x:c r="E73" s="16">
        <x:v>5642</x:v>
      </x:c>
      <x:c r="F73" s="18">
        <x:v>9</x:v>
      </x:c>
    </x:row>
    <x:row r="74">
      <x:c r="A74" t="s">
        <x:v>6</x:v>
      </x:c>
      <x:c r="B74" t="s">
        <x:v>21</x:v>
      </x:c>
      <x:c r="C74" t="s">
        <x:v>44</x:v>
      </x:c>
      <x:c r="D74" s="14">
        <x:v>44631</x:v>
      </x:c>
      <x:c r="E74" s="16">
        <x:v>2800</x:v>
      </x:c>
      <x:c r="F74" s="18">
        <x:v>241</x:v>
      </x:c>
    </x:row>
    <x:row r="75">
      <x:c r="A75" t="s">
        <x:v>48</x:v>
      </x:c>
      <x:c r="B75" t="s">
        <x:v>21</x:v>
      </x:c>
      <x:c r="C75" t="s">
        <x:v>13</x:v>
      </x:c>
      <x:c r="D75" s="14">
        <x:v>44732</x:v>
      </x:c>
      <x:c r="E75" s="16">
        <x:v>959</x:v>
      </x:c>
      <x:c r="F75" s="18">
        <x:v>265</x:v>
      </x:c>
    </x:row>
    <x:row r="76">
      <x:c r="A76" t="s">
        <x:v>9</x:v>
      </x:c>
      <x:c r="B76" t="s">
        <x:v>7</x:v>
      </x:c>
      <x:c r="C76" t="s">
        <x:v>35</x:v>
      </x:c>
      <x:c r="D76" s="14">
        <x:v>44799</x:v>
      </x:c>
      <x:c r="E76" s="16">
        <x:v>2002</x:v>
      </x:c>
      <x:c r="F76" s="18">
        <x:v>214</x:v>
      </x:c>
    </x:row>
    <x:row r="77">
      <x:c r="A77" t="s">
        <x:v>36</x:v>
      </x:c>
      <x:c r="B77" t="s">
        <x:v>29</x:v>
      </x:c>
      <x:c r="C77" t="s">
        <x:v>37</x:v>
      </x:c>
      <x:c r="D77" s="14">
        <x:v>44755</x:v>
      </x:c>
      <x:c r="E77" s="16">
        <x:v>609</x:v>
      </x:c>
      <x:c r="F77" s="18">
        <x:v>32</x:v>
      </x:c>
    </x:row>
    <x:row r="78">
      <x:c r="A78" t="s">
        <x:v>50</x:v>
      </x:c>
      <x:c r="B78" t="s">
        <x:v>26</x:v>
      </x:c>
      <x:c r="C78" t="s">
        <x:v>39</x:v>
      </x:c>
      <x:c r="D78" s="14">
        <x:v>44603</x:v>
      </x:c>
      <x:c r="E78" s="16">
        <x:v>1274</x:v>
      </x:c>
      <x:c r="F78" s="18">
        <x:v>244</x:v>
      </x:c>
    </x:row>
    <x:row r="79">
      <x:c r="A79" t="s">
        <x:v>33</x:v>
      </x:c>
      <x:c r="B79" t="s">
        <x:v>26</x:v>
      </x:c>
      <x:c r="C79" t="s">
        <x:v>27</x:v>
      </x:c>
      <x:c r="D79" s="14">
        <x:v>44588</x:v>
      </x:c>
      <x:c r="E79" s="16">
        <x:v>7595</x:v>
      </x:c>
      <x:c r="F79" s="18">
        <x:v>181</x:v>
      </x:c>
    </x:row>
    <x:row r="80">
      <x:c r="A80" t="s">
        <x:v>9</x:v>
      </x:c>
      <x:c r="B80" t="s">
        <x:v>7</x:v>
      </x:c>
      <x:c r="C80" t="s">
        <x:v>18</x:v>
      </x:c>
      <x:c r="D80" s="14">
        <x:v>44592</x:v>
      </x:c>
      <x:c r="E80" s="16">
        <x:v>4725</x:v>
      </x:c>
      <x:c r="F80" s="18">
        <x:v>137</x:v>
      </x:c>
    </x:row>
    <x:row r="81">
      <x:c r="A81" t="s">
        <x:v>50</x:v>
      </x:c>
      <x:c r="B81" t="s">
        <x:v>26</x:v>
      </x:c>
      <x:c r="C81" t="s">
        <x:v>44</x:v>
      </x:c>
      <x:c r="D81" s="14">
        <x:v>44791</x:v>
      </x:c>
      <x:c r="E81" s="16">
        <x:v>9681</x:v>
      </x:c>
      <x:c r="F81" s="18">
        <x:v>24</x:v>
      </x:c>
    </x:row>
    <x:row r="82">
      <x:c r="A82" t="s">
        <x:v>48</x:v>
      </x:c>
      <x:c r="B82" t="s">
        <x:v>26</x:v>
      </x:c>
      <x:c r="C82" t="s">
        <x:v>51</x:v>
      </x:c>
      <x:c r="D82" s="14">
        <x:v>44742</x:v>
      </x:c>
      <x:c r="E82" s="16">
        <x:v>14504</x:v>
      </x:c>
      <x:c r="F82" s="18">
        <x:v>21</x:v>
      </x:c>
    </x:row>
    <x:row r="83">
      <x:c r="A83" t="s">
        <x:v>54</x:v>
      </x:c>
      <x:c r="B83" t="s">
        <x:v>15</x:v>
      </x:c>
      <x:c r="C83" t="s">
        <x:v>42</x:v>
      </x:c>
      <x:c r="D83" s="14">
        <x:v>44796</x:v>
      </x:c>
      <x:c r="E83" s="16">
        <x:v>280</x:v>
      </x:c>
      <x:c r="F83" s="18">
        <x:v>311</x:v>
      </x:c>
    </x:row>
    <x:row r="84">
      <x:c r="A84" t="s">
        <x:v>23</x:v>
      </x:c>
      <x:c r="B84" t="s">
        <x:v>21</x:v>
      </x:c>
      <x:c r="C84" t="s">
        <x:v>8</x:v>
      </x:c>
      <x:c r="D84" s="14">
        <x:v>44774</x:v>
      </x:c>
      <x:c r="E84" s="16">
        <x:v>63</x:v>
      </x:c>
      <x:c r="F84" s="18">
        <x:v>181</x:v>
      </x:c>
    </x:row>
    <x:row r="85">
      <x:c r="A85" t="s">
        <x:v>36</x:v>
      </x:c>
      <x:c r="B85" t="s">
        <x:v>21</x:v>
      </x:c>
      <x:c r="C85" t="s">
        <x:v>20</x:v>
      </x:c>
      <x:c r="D85" s="14">
        <x:v>44706</x:v>
      </x:c>
      <x:c r="E85" s="16">
        <x:v>8001</x:v>
      </x:c>
      <x:c r="F85" s="18">
        <x:v>10</x:v>
      </x:c>
    </x:row>
    <x:row r="86">
      <x:c r="A86" t="s">
        <x:v>36</x:v>
      </x:c>
      <x:c r="B86" t="s">
        <x:v>29</x:v>
      </x:c>
      <x:c r="C86" t="s">
        <x:v>35</x:v>
      </x:c>
      <x:c r="D86" s="14">
        <x:v>44571</x:v>
      </x:c>
      <x:c r="E86" s="16">
        <x:v>4032</x:v>
      </x:c>
      <x:c r="F86" s="18">
        <x:v>82</x:v>
      </x:c>
    </x:row>
    <x:row r="87">
      <x:c r="A87" t="s">
        <x:v>43</x:v>
      </x:c>
      <x:c r="B87" t="s">
        <x:v>15</x:v>
      </x:c>
      <x:c r="C87" t="s">
        <x:v>58</x:v>
      </x:c>
      <x:c r="D87" s="14">
        <x:v>44599</x:v>
      </x:c>
      <x:c r="E87" s="16">
        <x:v>5859</x:v>
      </x:c>
      <x:c r="F87" s="18">
        <x:v>108</x:v>
      </x:c>
    </x:row>
    <x:row r="88">
      <x:c r="A88" t="s">
        <x:v>31</x:v>
      </x:c>
      <x:c r="B88" t="s">
        <x:v>26</x:v>
      </x:c>
      <x:c r="C88" t="s">
        <x:v>27</x:v>
      </x:c>
      <x:c r="D88" s="14">
        <x:v>44693</x:v>
      </x:c>
      <x:c r="E88" s="16">
        <x:v>11095</x:v>
      </x:c>
      <x:c r="F88" s="18">
        <x:v>401</x:v>
      </x:c>
    </x:row>
    <x:row r="89">
      <x:c r="A89" t="s">
        <x:v>53</x:v>
      </x:c>
      <x:c r="B89" t="s">
        <x:v>15</x:v>
      </x:c>
      <x:c r="C89" t="s">
        <x:v>39</x:v>
      </x:c>
      <x:c r="D89" s="14">
        <x:v>44627</x:v>
      </x:c>
      <x:c r="E89" s="16">
        <x:v>7182</x:v>
      </x:c>
      <x:c r="F89" s="18">
        <x:v>408</x:v>
      </x:c>
    </x:row>
    <x:row r="90">
      <x:c r="A90" t="s">
        <x:v>43</x:v>
      </x:c>
      <x:c r="B90" t="s">
        <x:v>15</x:v>
      </x:c>
      <x:c r="C90" t="s">
        <x:v>11</x:v>
      </x:c>
      <x:c r="D90" s="14">
        <x:v>44656</x:v>
      </x:c>
      <x:c r="E90" s="16">
        <x:v>6881</x:v>
      </x:c>
      <x:c r="F90" s="18">
        <x:v>420</x:v>
      </x:c>
    </x:row>
    <x:row r="91">
      <x:c r="A91" t="s">
        <x:v>48</x:v>
      </x:c>
      <x:c r="B91" t="s">
        <x:v>29</x:v>
      </x:c>
      <x:c r="C91" t="s">
        <x:v>57</x:v>
      </x:c>
      <x:c r="D91" s="14">
        <x:v>44564</x:v>
      </x:c>
      <x:c r="E91" s="16">
        <x:v>7154</x:v>
      </x:c>
      <x:c r="F91" s="18">
        <x:v>348</x:v>
      </x:c>
    </x:row>
    <x:row r="92">
      <x:c r="A92" t="s">
        <x:v>43</x:v>
      </x:c>
      <x:c r="B92" t="s">
        <x:v>7</x:v>
      </x:c>
      <x:c r="C92" t="s">
        <x:v>30</x:v>
      </x:c>
      <x:c r="D92" s="14">
        <x:v>44644</x:v>
      </x:c>
      <x:c r="E92" s="16">
        <x:v>6188</x:v>
      </x:c>
      <x:c r="F92" s="18">
        <x:v>270</x:v>
      </x:c>
    </x:row>
    <x:row r="93">
      <x:c r="A93" t="s">
        <x:v>53</x:v>
      </x:c>
      <x:c r="B93" t="s">
        <x:v>10</x:v>
      </x:c>
      <x:c r="C93" t="s">
        <x:v>51</x:v>
      </x:c>
      <x:c r="D93" s="14">
        <x:v>44749</x:v>
      </x:c>
      <x:c r="E93" s="16">
        <x:v>4221</x:v>
      </x:c>
      <x:c r="F93" s="18">
        <x:v>9</x:v>
      </x:c>
    </x:row>
    <x:row r="94">
      <x:c r="A94" t="s">
        <x:v>9</x:v>
      </x:c>
      <x:c r="B94" t="s">
        <x:v>26</x:v>
      </x:c>
      <x:c r="C94" t="s">
        <x:v>20</x:v>
      </x:c>
      <x:c r="D94" s="14">
        <x:v>44768</x:v>
      </x:c>
      <x:c r="E94" s="16">
        <x:v>630</x:v>
      </x:c>
      <x:c r="F94" s="18">
        <x:v>264</x:v>
      </x:c>
    </x:row>
    <x:row r="95">
      <x:c r="A95" t="s">
        <x:v>46</x:v>
      </x:c>
      <x:c r="B95" t="s">
        <x:v>15</x:v>
      </x:c>
      <x:c r="C95" t="s">
        <x:v>35</x:v>
      </x:c>
      <x:c r="D95" s="14">
        <x:v>44749</x:v>
      </x:c>
      <x:c r="E95" s="16">
        <x:v>1743</x:v>
      </x:c>
      <x:c r="F95" s="18">
        <x:v>111</x:v>
      </x:c>
    </x:row>
    <x:row r="96">
      <x:c r="A96" t="s">
        <x:v>31</x:v>
      </x:c>
      <x:c r="B96" t="s">
        <x:v>29</x:v>
      </x:c>
      <x:c r="C96" t="s">
        <x:v>22</x:v>
      </x:c>
      <x:c r="D96" s="14">
        <x:v>44757</x:v>
      </x:c>
      <x:c r="E96" s="16">
        <x:v>2919</x:v>
      </x:c>
      <x:c r="F96" s="18">
        <x:v>65</x:v>
      </x:c>
    </x:row>
    <x:row r="97">
      <x:c r="A97" t="s">
        <x:v>36</x:v>
      </x:c>
      <x:c r="B97" t="s">
        <x:v>21</x:v>
      </x:c>
      <x:c r="C97" t="s">
        <x:v>27</x:v>
      </x:c>
      <x:c r="D97" s="14">
        <x:v>44652</x:v>
      </x:c>
      <x:c r="E97" s="16">
        <x:v>49</x:v>
      </x:c>
      <x:c r="F97" s="18">
        <x:v>97</x:v>
      </x:c>
    </x:row>
    <x:row r="98">
      <x:c r="A98" t="s">
        <x:v>34</x:v>
      </x:c>
      <x:c r="B98" t="s">
        <x:v>15</x:v>
      </x:c>
      <x:c r="C98" t="s">
        <x:v>30</x:v>
      </x:c>
      <x:c r="D98" s="14">
        <x:v>44732</x:v>
      </x:c>
      <x:c r="E98" s="16">
        <x:v>1827</x:v>
      </x:c>
      <x:c r="F98" s="18">
        <x:v>6</x:v>
      </x:c>
    </x:row>
    <x:row r="99">
      <x:c r="A99" t="s">
        <x:v>49</x:v>
      </x:c>
      <x:c r="B99" t="s">
        <x:v>7</x:v>
      </x:c>
      <x:c r="C99" t="s">
        <x:v>42</x:v>
      </x:c>
      <x:c r="D99" s="14">
        <x:v>44741</x:v>
      </x:c>
      <x:c r="E99" s="16">
        <x:v>13006</x:v>
      </x:c>
      <x:c r="F99" s="18">
        <x:v>482</x:v>
      </x:c>
    </x:row>
    <x:row r="100">
      <x:c r="A100" t="s">
        <x:v>33</x:v>
      </x:c>
      <x:c r="B100" t="s">
        <x:v>26</x:v>
      </x:c>
      <x:c r="C100" t="s">
        <x:v>22</x:v>
      </x:c>
      <x:c r="D100" s="14">
        <x:v>44727</x:v>
      </x:c>
      <x:c r="E100" s="16">
        <x:v>1064</x:v>
      </x:c>
      <x:c r="F100" s="18">
        <x:v>106</x:v>
      </x:c>
    </x:row>
    <x:row r="101">
      <x:c r="A101" t="s">
        <x:v>40</x:v>
      </x:c>
      <x:c r="B101" t="s">
        <x:v>26</x:v>
      </x:c>
      <x:c r="C101" t="s">
        <x:v>20</x:v>
      </x:c>
      <x:c r="D101" s="14">
        <x:v>44659</x:v>
      </x:c>
      <x:c r="E101" s="16">
        <x:v>11571</x:v>
      </x:c>
      <x:c r="F101" s="18">
        <x:v>180</x:v>
      </x:c>
    </x:row>
    <x:row r="102">
      <x:c r="A102" t="s">
        <x:v>43</x:v>
      </x:c>
      <x:c r="B102" t="s">
        <x:v>15</x:v>
      </x:c>
      <x:c r="C102" t="s">
        <x:v>51</x:v>
      </x:c>
      <x:c r="D102" s="14">
        <x:v>44634</x:v>
      </x:c>
      <x:c r="E102" s="16">
        <x:v>5740</x:v>
      </x:c>
      <x:c r="F102" s="18">
        <x:v>31</x:v>
      </x:c>
    </x:row>
    <x:row r="103">
      <x:c r="A103" t="s">
        <x:v>48</x:v>
      </x:c>
      <x:c r="B103" t="s">
        <x:v>26</x:v>
      </x:c>
      <x:c r="C103" t="s">
        <x:v>42</x:v>
      </x:c>
      <x:c r="D103" s="14">
        <x:v>44757</x:v>
      </x:c>
      <x:c r="E103" s="16">
        <x:v>1456</x:v>
      </x:c>
      <x:c r="F103" s="18">
        <x:v>359</x:v>
      </x:c>
    </x:row>
    <x:row r="104">
      <x:c r="A104" t="s">
        <x:v>49</x:v>
      </x:c>
      <x:c r="B104" t="s">
        <x:v>10</x:v>
      </x:c>
      <x:c r="C104" t="s">
        <x:v>30</x:v>
      </x:c>
      <x:c r="D104" s="14">
        <x:v>44670</x:v>
      </x:c>
      <x:c r="E104" s="16">
        <x:v>5334</x:v>
      </x:c>
      <x:c r="F104" s="18">
        <x:v>80</x:v>
      </x:c>
    </x:row>
    <x:row r="105">
      <x:c r="A105" t="s">
        <x:v>33</x:v>
      </x:c>
      <x:c r="B105" t="s">
        <x:v>26</x:v>
      </x:c>
      <x:c r="C105" t="s">
        <x:v>18</x:v>
      </x:c>
      <x:c r="D105" s="14">
        <x:v>44648</x:v>
      </x:c>
      <x:c r="E105" s="16">
        <x:v>4151</x:v>
      </x:c>
      <x:c r="F105" s="18">
        <x:v>296</x:v>
      </x:c>
    </x:row>
    <x:row r="106">
      <x:c r="A106" t="s">
        <x:v>23</x:v>
      </x:c>
      <x:c r="B106" t="s">
        <x:v>29</x:v>
      </x:c>
      <x:c r="C106" t="s">
        <x:v>39</x:v>
      </x:c>
      <x:c r="D106" s="14">
        <x:v>44624</x:v>
      </x:c>
      <x:c r="E106" s="16">
        <x:v>8106</x:v>
      </x:c>
      <x:c r="F106" s="18">
        <x:v>101</x:v>
      </x:c>
    </x:row>
    <x:row r="107">
      <x:c r="A107" t="s">
        <x:v>31</x:v>
      </x:c>
      <x:c r="B107" t="s">
        <x:v>21</x:v>
      </x:c>
      <x:c r="C107" t="s">
        <x:v>58</x:v>
      </x:c>
      <x:c r="D107" s="14">
        <x:v>44775</x:v>
      </x:c>
      <x:c r="E107" s="16">
        <x:v>126</x:v>
      </x:c>
      <x:c r="F107" s="18">
        <x:v>40</x:v>
      </x:c>
    </x:row>
    <x:row r="108">
      <x:c r="A108" t="s">
        <x:v>40</x:v>
      </x:c>
      <x:c r="B108" t="s">
        <x:v>7</x:v>
      </x:c>
      <x:c r="C108" t="s">
        <x:v>39</x:v>
      </x:c>
      <x:c r="D108" s="14">
        <x:v>44798</x:v>
      </x:c>
      <x:c r="E108" s="16">
        <x:v>4697</x:v>
      </x:c>
      <x:c r="F108" s="18">
        <x:v>42</x:v>
      </x:c>
    </x:row>
    <x:row r="109">
      <x:c r="A109" t="s">
        <x:v>33</x:v>
      </x:c>
      <x:c r="B109" t="s">
        <x:v>26</x:v>
      </x:c>
      <x:c r="C109" t="s">
        <x:v>47</x:v>
      </x:c>
      <x:c r="D109" s="14">
        <x:v>44617</x:v>
      </x:c>
      <x:c r="E109" s="16">
        <x:v>7798</x:v>
      </x:c>
      <x:c r="F109" s="18">
        <x:v>167</x:v>
      </x:c>
    </x:row>
    <x:row r="110">
      <x:c r="A110" t="s">
        <x:v>49</x:v>
      </x:c>
      <x:c r="B110" t="s">
        <x:v>10</x:v>
      </x:c>
      <x:c r="C110" t="s">
        <x:v>27</x:v>
      </x:c>
      <x:c r="D110" s="14">
        <x:v>44719</x:v>
      </x:c>
      <x:c r="E110" s="16">
        <x:v>9408</x:v>
      </x:c>
      <x:c r="F110" s="18">
        <x:v>138</x:v>
      </x:c>
    </x:row>
    <x:row r="111">
      <x:c r="A111" t="s">
        <x:v>14</x:v>
      </x:c>
      <x:c r="B111" t="s">
        <x:v>10</x:v>
      </x:c>
      <x:c r="C111" t="s">
        <x:v>39</x:v>
      </x:c>
      <x:c r="D111" s="14">
        <x:v>44663</x:v>
      </x:c>
      <x:c r="E111" s="16">
        <x:v>1939</x:v>
      </x:c>
      <x:c r="F111" s="18">
        <x:v>520</x:v>
      </x:c>
    </x:row>
    <x:row r="112">
      <x:c r="A112" t="s">
        <x:v>55</x:v>
      </x:c>
      <x:c r="B112" t="s">
        <x:v>10</x:v>
      </x:c>
      <x:c r="C112" t="s">
        <x:v>39</x:v>
      </x:c>
      <x:c r="D112" s="14">
        <x:v>44748</x:v>
      </x:c>
      <x:c r="E112" s="16">
        <x:v>10906</x:v>
      </x:c>
      <x:c r="F112" s="18">
        <x:v>94</x:v>
      </x:c>
    </x:row>
    <x:row r="113">
      <x:c r="A113" t="s">
        <x:v>49</x:v>
      </x:c>
      <x:c r="B113" t="s">
        <x:v>7</x:v>
      </x:c>
      <x:c r="C113" t="s">
        <x:v>16</x:v>
      </x:c>
      <x:c r="D113" s="14">
        <x:v>44580</x:v>
      </x:c>
      <x:c r="E113" s="16">
        <x:v>5929</x:v>
      </x:c>
      <x:c r="F113" s="18">
        <x:v>175</x:v>
      </x:c>
    </x:row>
    <x:row r="114">
      <x:c r="A114" t="s">
        <x:v>53</x:v>
      </x:c>
      <x:c r="B114" t="s">
        <x:v>15</x:v>
      </x:c>
      <x:c r="C114" t="s">
        <x:v>42</x:v>
      </x:c>
      <x:c r="D114" s="14">
        <x:v>44566</x:v>
      </x:c>
      <x:c r="E114" s="16">
        <x:v>5579</x:v>
      </x:c>
      <x:c r="F114" s="18">
        <x:v>92</x:v>
      </x:c>
    </x:row>
    <x:row r="115">
      <x:c r="A115" t="s">
        <x:v>53</x:v>
      </x:c>
      <x:c r="B115" t="s">
        <x:v>29</x:v>
      </x:c>
      <x:c r="C115" t="s">
        <x:v>58</x:v>
      </x:c>
      <x:c r="D115" s="14">
        <x:v>44585</x:v>
      </x:c>
      <x:c r="E115" s="16">
        <x:v>10927</x:v>
      </x:c>
      <x:c r="F115" s="18">
        <x:v>141</x:v>
      </x:c>
    </x:row>
    <x:row r="116">
      <x:c r="A116" t="s">
        <x:v>46</x:v>
      </x:c>
      <x:c r="B116" t="s">
        <x:v>15</x:v>
      </x:c>
      <x:c r="C116" t="s">
        <x:v>32</x:v>
      </x:c>
      <x:c r="D116" s="14">
        <x:v>44657</x:v>
      </x:c>
      <x:c r="E116" s="16">
        <x:v>623</x:v>
      </x:c>
      <x:c r="F116" s="18">
        <x:v>283</x:v>
      </x:c>
    </x:row>
    <x:row r="117">
      <x:c r="A117" t="s">
        <x:v>19</x:v>
      </x:c>
      <x:c r="B117" t="s">
        <x:v>15</x:v>
      </x:c>
      <x:c r="C117" t="s">
        <x:v>42</x:v>
      </x:c>
      <x:c r="D117" s="14">
        <x:v>44727</x:v>
      </x:c>
      <x:c r="E117" s="16">
        <x:v>6013</x:v>
      </x:c>
      <x:c r="F117" s="18">
        <x:v>21</x:v>
      </x:c>
    </x:row>
    <x:row r="118">
      <x:c r="A118" t="s">
        <x:v>12</x:v>
      </x:c>
      <x:c r="B118" t="s">
        <x:v>29</x:v>
      </x:c>
      <x:c r="C118" t="s">
        <x:v>56</x:v>
      </x:c>
      <x:c r="D118" s="14">
        <x:v>44589</x:v>
      </x:c>
      <x:c r="E118" s="16">
        <x:v>1505</x:v>
      </x:c>
      <x:c r="F118" s="18">
        <x:v>47</x:v>
      </x:c>
    </x:row>
    <x:row r="119">
      <x:c r="A119" t="s">
        <x:v>49</x:v>
      </x:c>
      <x:c r="B119" t="s">
        <x:v>10</x:v>
      </x:c>
      <x:c r="C119" t="s">
        <x:v>57</x:v>
      </x:c>
      <x:c r="D119" s="14">
        <x:v>44636</x:v>
      </x:c>
      <x:c r="E119" s="16">
        <x:v>476</x:v>
      </x:c>
      <x:c r="F119" s="18">
        <x:v>125</x:v>
      </x:c>
    </x:row>
    <x:row r="120">
      <x:c r="A120" t="s">
        <x:v>24</x:v>
      </x:c>
      <x:c r="B120" t="s">
        <x:v>15</x:v>
      </x:c>
      <x:c r="C120" t="s">
        <x:v>32</x:v>
      </x:c>
      <x:c r="D120" s="14">
        <x:v>44613</x:v>
      </x:c>
      <x:c r="E120" s="16">
        <x:v>11550</x:v>
      </x:c>
      <x:c r="F120" s="18">
        <x:v>396</x:v>
      </x:c>
    </x:row>
    <x:row r="121">
      <x:c r="A121" t="s">
        <x:v>49</x:v>
      </x:c>
      <x:c r="B121" t="s">
        <x:v>26</x:v>
      </x:c>
      <x:c r="C121" t="s">
        <x:v>45</x:v>
      </x:c>
      <x:c r="D121" s="14">
        <x:v>44608</x:v>
      </x:c>
      <x:c r="E121" s="16">
        <x:v>17318</x:v>
      </x:c>
      <x:c r="F121" s="18">
        <x:v>87</x:v>
      </x:c>
    </x:row>
    <x:row r="122">
      <x:c r="A122" t="s">
        <x:v>6</x:v>
      </x:c>
      <x:c r="B122" t="s">
        <x:v>29</x:v>
      </x:c>
      <x:c r="C122" t="s">
        <x:v>39</x:v>
      </x:c>
      <x:c r="D122" s="14">
        <x:v>44574</x:v>
      </x:c>
      <x:c r="E122" s="16">
        <x:v>1848</x:v>
      </x:c>
      <x:c r="F122" s="18">
        <x:v>27</x:v>
      </x:c>
    </x:row>
    <x:row r="123">
      <x:c r="A123" t="s">
        <x:v>49</x:v>
      </x:c>
      <x:c r="B123" t="s">
        <x:v>15</x:v>
      </x:c>
      <x:c r="C123" t="s">
        <x:v>30</x:v>
      </x:c>
      <x:c r="D123" s="14">
        <x:v>44643</x:v>
      </x:c>
      <x:c r="E123" s="16">
        <x:v>7273</x:v>
      </x:c>
      <x:c r="F123" s="18">
        <x:v>547</x:v>
      </x:c>
    </x:row>
    <x:row r="124">
      <x:c r="A124" t="s">
        <x:v>38</x:v>
      </x:c>
      <x:c r="B124" t="s">
        <x:v>29</x:v>
      </x:c>
      <x:c r="C124" t="s">
        <x:v>39</x:v>
      </x:c>
      <x:c r="D124" s="14">
        <x:v>44728</x:v>
      </x:c>
      <x:c r="E124" s="16">
        <x:v>854</x:v>
      </x:c>
      <x:c r="F124" s="18">
        <x:v>118</x:v>
      </x:c>
    </x:row>
    <x:row r="125">
      <x:c r="A125" t="s">
        <x:v>17</x:v>
      </x:c>
      <x:c r="B125" t="s">
        <x:v>10</x:v>
      </x:c>
      <x:c r="C125" t="s">
        <x:v>51</x:v>
      </x:c>
      <x:c r="D125" s="14">
        <x:v>44665</x:v>
      </x:c>
      <x:c r="E125" s="16">
        <x:v>6832</x:v>
      </x:c>
      <x:c r="F125" s="18">
        <x:v>46</x:v>
      </x:c>
    </x:row>
    <x:row r="126">
      <x:c r="A126" t="s">
        <x:v>49</x:v>
      </x:c>
      <x:c r="B126" t="s">
        <x:v>7</x:v>
      </x:c>
      <x:c r="C126" t="s">
        <x:v>30</x:v>
      </x:c>
      <x:c r="D126" s="14">
        <x:v>44586</x:v>
      </x:c>
      <x:c r="E126" s="16">
        <x:v>4606</x:v>
      </x:c>
      <x:c r="F126" s="18">
        <x:v>57</x:v>
      </x:c>
    </x:row>
    <x:row r="127">
      <x:c r="A127" t="s">
        <x:v>14</x:v>
      </x:c>
      <x:c r="B127" t="s">
        <x:v>10</x:v>
      </x:c>
      <x:c r="C127" t="s">
        <x:v>47</x:v>
      </x:c>
      <x:c r="D127" s="14">
        <x:v>44631</x:v>
      </x:c>
      <x:c r="E127" s="16">
        <x:v>4466</x:v>
      </x:c>
      <x:c r="F127" s="18">
        <x:v>22</x:v>
      </x:c>
    </x:row>
    <x:row r="128">
      <x:c r="A128" t="s">
        <x:v>54</x:v>
      </x:c>
      <x:c r="B128" t="s">
        <x:v>7</x:v>
      </x:c>
      <x:c r="C128" t="s">
        <x:v>47</x:v>
      </x:c>
      <x:c r="D128" s="14">
        <x:v>44770</x:v>
      </x:c>
      <x:c r="E128" s="16">
        <x:v>16114</x:v>
      </x:c>
      <x:c r="F128" s="18">
        <x:v>96</x:v>
      </x:c>
    </x:row>
    <x:row r="129">
      <x:c r="A129" t="s">
        <x:v>33</x:v>
      </x:c>
      <x:c r="B129" t="s">
        <x:v>21</x:v>
      </x:c>
      <x:c r="C129" t="s">
        <x:v>20</x:v>
      </x:c>
      <x:c r="D129" s="14">
        <x:v>44629</x:v>
      </x:c>
      <x:c r="E129" s="16">
        <x:v>1561</x:v>
      </x:c>
      <x:c r="F129" s="18">
        <x:v>44</x:v>
      </x:c>
    </x:row>
    <x:row r="130">
      <x:c r="A130" t="s">
        <x:v>40</x:v>
      </x:c>
      <x:c r="B130" t="s">
        <x:v>15</x:v>
      </x:c>
      <x:c r="C130" t="s">
        <x:v>27</x:v>
      </x:c>
      <x:c r="D130" s="14">
        <x:v>44740</x:v>
      </x:c>
      <x:c r="E130" s="16">
        <x:v>8897</x:v>
      </x:c>
      <x:c r="F130" s="18">
        <x:v>188</x:v>
      </x:c>
    </x:row>
    <x:row r="131">
      <x:c r="A131" t="s">
        <x:v>33</x:v>
      </x:c>
      <x:c r="B131" t="s">
        <x:v>15</x:v>
      </x:c>
      <x:c r="C131" t="s">
        <x:v>37</x:v>
      </x:c>
      <x:c r="D131" s="14">
        <x:v>44770</x:v>
      </x:c>
      <x:c r="E131" s="16">
        <x:v>2464</x:v>
      </x:c>
      <x:c r="F131" s="18">
        <x:v>387</x:v>
      </x:c>
    </x:row>
    <x:row r="132">
      <x:c r="A132" t="s">
        <x:v>49</x:v>
      </x:c>
      <x:c r="B132" t="s">
        <x:v>29</x:v>
      </x:c>
      <x:c r="C132" t="s">
        <x:v>18</x:v>
      </x:c>
      <x:c r="D132" s="14">
        <x:v>44788</x:v>
      </x:c>
      <x:c r="E132" s="16">
        <x:v>4830</x:v>
      </x:c>
      <x:c r="F132" s="18">
        <x:v>50</x:v>
      </x:c>
    </x:row>
    <x:row r="133">
      <x:c r="A133" t="s">
        <x:v>41</x:v>
      </x:c>
      <x:c r="B133" t="s">
        <x:v>15</x:v>
      </x:c>
      <x:c r="C133" t="s">
        <x:v>45</x:v>
      </x:c>
      <x:c r="D133" s="14">
        <x:v>44573</x:v>
      </x:c>
      <x:c r="E133" s="16">
        <x:v>2765</x:v>
      </x:c>
      <x:c r="F133" s="18">
        <x:v>264</x:v>
      </x:c>
    </x:row>
    <x:row r="134">
      <x:c r="A134" t="s">
        <x:v>34</x:v>
      </x:c>
      <x:c r="B134" t="s">
        <x:v>21</x:v>
      </x:c>
      <x:c r="C134" t="s">
        <x:v>44</x:v>
      </x:c>
      <x:c r="D134" s="14">
        <x:v>44644</x:v>
      </x:c>
      <x:c r="E134" s="16">
        <x:v>7126</x:v>
      </x:c>
      <x:c r="F134" s="18">
        <x:v>7</x:v>
      </x:c>
    </x:row>
    <x:row r="135">
      <x:c r="A135" t="s">
        <x:v>9</x:v>
      </x:c>
      <x:c r="B135" t="s">
        <x:v>7</x:v>
      </x:c>
      <x:c r="C135" t="s">
        <x:v>37</x:v>
      </x:c>
      <x:c r="D135" s="14">
        <x:v>44767</x:v>
      </x:c>
      <x:c r="E135" s="16">
        <x:v>4263</x:v>
      </x:c>
      <x:c r="F135" s="18">
        <x:v>90</x:v>
      </x:c>
    </x:row>
    <x:row r="136">
      <x:c r="A136" t="s">
        <x:v>17</x:v>
      </x:c>
      <x:c r="B136" t="s">
        <x:v>29</x:v>
      </x:c>
      <x:c r="C136" t="s">
        <x:v>18</x:v>
      </x:c>
      <x:c r="D136" s="14">
        <x:v>44774</x:v>
      </x:c>
      <x:c r="E136" s="16">
        <x:v>3605</x:v>
      </x:c>
      <x:c r="F136" s="18">
        <x:v>403</x:v>
      </x:c>
    </x:row>
    <x:row r="137">
      <x:c r="A137" t="s">
        <x:v>9</x:v>
      </x:c>
      <x:c r="B137" t="s">
        <x:v>10</x:v>
      </x:c>
      <x:c r="C137" t="s">
        <x:v>35</x:v>
      </x:c>
      <x:c r="D137" s="14">
        <x:v>44697</x:v>
      </x:c>
      <x:c r="E137" s="16">
        <x:v>19929</x:v>
      </x:c>
      <x:c r="F137" s="18">
        <x:v>174</x:v>
      </x:c>
    </x:row>
    <x:row r="138">
      <x:c r="A138" t="s">
        <x:v>36</x:v>
      </x:c>
      <x:c r="B138" t="s">
        <x:v>10</x:v>
      </x:c>
      <x:c r="C138" t="s">
        <x:v>16</x:v>
      </x:c>
      <x:c r="D138" s="14">
        <x:v>44783</x:v>
      </x:c>
      <x:c r="E138" s="16">
        <x:v>5103</x:v>
      </x:c>
      <x:c r="F138" s="18">
        <x:v>140</x:v>
      </x:c>
    </x:row>
    <x:row r="139">
      <x:c r="A139" t="s">
        <x:v>14</x:v>
      </x:c>
      <x:c r="B139" t="s">
        <x:v>10</x:v>
      </x:c>
      <x:c r="C139" t="s">
        <x:v>30</x:v>
      </x:c>
      <x:c r="D139" s="14">
        <x:v>44566</x:v>
      </x:c>
      <x:c r="E139" s="16">
        <x:v>2541</x:v>
      </x:c>
      <x:c r="F139" s="18">
        <x:v>27</x:v>
      </x:c>
    </x:row>
    <x:row r="140">
      <x:c r="A140" t="s">
        <x:v>55</x:v>
      </x:c>
      <x:c r="B140" t="s">
        <x:v>7</x:v>
      </x:c>
      <x:c r="C140" t="s">
        <x:v>16</x:v>
      </x:c>
      <x:c r="D140" s="14">
        <x:v>44753</x:v>
      </x:c>
      <x:c r="E140" s="16">
        <x:v>5663</x:v>
      </x:c>
      <x:c r="F140" s="18">
        <x:v>110</x:v>
      </x:c>
    </x:row>
    <x:row r="141">
      <x:c r="A141" t="s">
        <x:v>46</x:v>
      </x:c>
      <x:c r="B141" t="s">
        <x:v>26</x:v>
      </x:c>
      <x:c r="C141" t="s">
        <x:v>20</x:v>
      </x:c>
      <x:c r="D141" s="14">
        <x:v>44676</x:v>
      </x:c>
      <x:c r="E141" s="16">
        <x:v>392</x:v>
      </x:c>
      <x:c r="F141" s="18">
        <x:v>30</x:v>
      </x:c>
    </x:row>
    <x:row r="142">
      <x:c r="A142" t="s">
        <x:v>12</x:v>
      </x:c>
      <x:c r="B142" t="s">
        <x:v>21</x:v>
      </x:c>
      <x:c r="C142" t="s">
        <x:v>42</x:v>
      </x:c>
      <x:c r="D142" s="14">
        <x:v>44655</x:v>
      </x:c>
      <x:c r="E142" s="16">
        <x:v>10976</x:v>
      </x:c>
      <x:c r="F142" s="18">
        <x:v>121</x:v>
      </x:c>
    </x:row>
    <x:row r="143">
      <x:c r="A143" t="s">
        <x:v>25</x:v>
      </x:c>
      <x:c r="B143" t="s">
        <x:v>26</x:v>
      </x:c>
      <x:c r="C143" t="s">
        <x:v>51</x:v>
      </x:c>
      <x:c r="D143" s="14">
        <x:v>44663</x:v>
      </x:c>
      <x:c r="E143" s="16">
        <x:v>9282</x:v>
      </x:c>
      <x:c r="F143" s="18">
        <x:v>101</x:v>
      </x:c>
    </x:row>
    <x:row r="144">
      <x:c r="A144" t="s">
        <x:v>46</x:v>
      </x:c>
      <x:c r="B144" t="s">
        <x:v>21</x:v>
      </x:c>
      <x:c r="C144" t="s">
        <x:v>11</x:v>
      </x:c>
      <x:c r="D144" s="14">
        <x:v>44775</x:v>
      </x:c>
      <x:c r="E144" s="16">
        <x:v>1827</x:v>
      </x:c>
      <x:c r="F144" s="18">
        <x:v>117</x:v>
      </x:c>
    </x:row>
    <x:row r="145">
      <x:c r="A145" t="s">
        <x:v>12</x:v>
      </x:c>
      <x:c r="B145" t="s">
        <x:v>21</x:v>
      </x:c>
      <x:c r="C145" t="s">
        <x:v>45</x:v>
      </x:c>
      <x:c r="D145" s="14">
        <x:v>44740</x:v>
      </x:c>
      <x:c r="E145" s="16">
        <x:v>8267</x:v>
      </x:c>
      <x:c r="F145" s="18">
        <x:v>272</x:v>
      </x:c>
    </x:row>
    <x:row r="146">
      <x:c r="A146" t="s">
        <x:v>55</x:v>
      </x:c>
      <x:c r="B146" t="s">
        <x:v>15</x:v>
      </x:c>
      <x:c r="C146" t="s">
        <x:v>30</x:v>
      </x:c>
      <x:c r="D146" s="14">
        <x:v>44747</x:v>
      </x:c>
      <x:c r="E146" s="16">
        <x:v>4116</x:v>
      </x:c>
      <x:c r="F146" s="18">
        <x:v>128</x:v>
      </x:c>
    </x:row>
    <x:row r="147">
      <x:c r="A147" t="s">
        <x:v>24</x:v>
      </x:c>
      <x:c r="B147" t="s">
        <x:v>21</x:v>
      </x:c>
      <x:c r="C147" t="s">
        <x:v>52</x:v>
      </x:c>
      <x:c r="D147" s="14">
        <x:v>44719</x:v>
      </x:c>
      <x:c r="E147" s="16">
        <x:v>2093</x:v>
      </x:c>
      <x:c r="F147" s="18">
        <x:v>45</x:v>
      </x:c>
    </x:row>
    <x:row r="148">
      <x:c r="A148" t="s">
        <x:v>23</x:v>
      </x:c>
      <x:c r="B148" t="s">
        <x:v>21</x:v>
      </x:c>
      <x:c r="C148" t="s">
        <x:v>16</x:v>
      </x:c>
      <x:c r="D148" s="14">
        <x:v>44579</x:v>
      </x:c>
      <x:c r="E148" s="16">
        <x:v>1015</x:v>
      </x:c>
      <x:c r="F148" s="18">
        <x:v>27</x:v>
      </x:c>
    </x:row>
    <x:row r="149">
      <x:c r="A149" t="s">
        <x:v>23</x:v>
      </x:c>
      <x:c r="B149" t="s">
        <x:v>15</x:v>
      </x:c>
      <x:c r="C149" t="s">
        <x:v>56</x:v>
      </x:c>
      <x:c r="D149" s="14">
        <x:v>44565</x:v>
      </x:c>
      <x:c r="E149" s="16">
        <x:v>12516</x:v>
      </x:c>
      <x:c r="F149" s="18">
        <x:v>212</x:v>
      </x:c>
    </x:row>
    <x:row r="150">
      <x:c r="A150" t="s">
        <x:v>43</x:v>
      </x:c>
      <x:c r="B150" t="s">
        <x:v>15</x:v>
      </x:c>
      <x:c r="C150" t="s">
        <x:v>18</x:v>
      </x:c>
      <x:c r="D150" s="14">
        <x:v>44592</x:v>
      </x:c>
      <x:c r="E150" s="16">
        <x:v>2758</x:v>
      </x:c>
      <x:c r="F150" s="18">
        <x:v>18</x:v>
      </x:c>
    </x:row>
    <x:row r="151">
      <x:c r="A151" t="s">
        <x:v>49</x:v>
      </x:c>
      <x:c r="B151" t="s">
        <x:v>10</x:v>
      </x:c>
      <x:c r="C151" t="s">
        <x:v>47</x:v>
      </x:c>
      <x:c r="D151" s="14">
        <x:v>44634</x:v>
      </x:c>
      <x:c r="E151" s="16">
        <x:v>3297</x:v>
      </x:c>
      <x:c r="F151" s="18">
        <x:v>149</x:v>
      </x:c>
    </x:row>
    <x:row r="152">
      <x:c r="A152" t="s">
        <x:v>50</x:v>
      </x:c>
      <x:c r="B152" t="s">
        <x:v>15</x:v>
      </x:c>
      <x:c r="C152" t="s">
        <x:v>58</x:v>
      </x:c>
      <x:c r="D152" s="14">
        <x:v>44680</x:v>
      </x:c>
      <x:c r="E152" s="16">
        <x:v>6048</x:v>
      </x:c>
      <x:c r="F152" s="18">
        <x:v>477</x:v>
      </x:c>
    </x:row>
    <x:row r="153">
      <x:c r="A153" t="s">
        <x:v>17</x:v>
      </x:c>
      <x:c r="B153" t="s">
        <x:v>10</x:v>
      </x:c>
      <x:c r="C153" t="s">
        <x:v>16</x:v>
      </x:c>
      <x:c r="D153" s="14">
        <x:v>44599</x:v>
      </x:c>
      <x:c r="E153" s="16">
        <x:v>10101</x:v>
      </x:c>
      <x:c r="F153" s="18">
        <x:v>108</x:v>
      </x:c>
    </x:row>
    <x:row r="154">
      <x:c r="A154" t="s">
        <x:v>41</x:v>
      </x:c>
      <x:c r="B154" t="s">
        <x:v>7</x:v>
      </x:c>
      <x:c r="C154" t="s">
        <x:v>35</x:v>
      </x:c>
      <x:c r="D154" s="14">
        <x:v>44651</x:v>
      </x:c>
      <x:c r="E154" s="16">
        <x:v>2282</x:v>
      </x:c>
      <x:c r="F154" s="18">
        <x:v>178</x:v>
      </x:c>
    </x:row>
    <x:row r="155">
      <x:c r="A155" t="s">
        <x:v>33</x:v>
      </x:c>
      <x:c r="B155" t="s">
        <x:v>10</x:v>
      </x:c>
      <x:c r="C155" t="s">
        <x:v>57</x:v>
      </x:c>
      <x:c r="D155" s="14">
        <x:v>44636</x:v>
      </x:c>
      <x:c r="E155" s="16">
        <x:v>4361</x:v>
      </x:c>
      <x:c r="F155" s="18">
        <x:v>81</x:v>
      </x:c>
    </x:row>
    <x:row r="156">
      <x:c r="A156" t="s">
        <x:v>31</x:v>
      </x:c>
      <x:c r="B156" t="s">
        <x:v>7</x:v>
      </x:c>
      <x:c r="C156" t="s">
        <x:v>30</x:v>
      </x:c>
      <x:c r="D156" s="14">
        <x:v>44586</x:v>
      </x:c>
      <x:c r="E156" s="16">
        <x:v>7798</x:v>
      </x:c>
      <x:c r="F156" s="18">
        <x:v>196</x:v>
      </x:c>
    </x:row>
    <x:row r="157">
      <x:c r="A157" t="s">
        <x:v>9</x:v>
      </x:c>
      <x:c r="B157" t="s">
        <x:v>10</x:v>
      </x:c>
      <x:c r="C157" t="s">
        <x:v>56</x:v>
      </x:c>
      <x:c r="D157" s="14">
        <x:v>44732</x:v>
      </x:c>
      <x:c r="E157" s="16">
        <x:v>3052</x:v>
      </x:c>
      <x:c r="F157" s="18">
        <x:v>447</x:v>
      </x:c>
    </x:row>
    <x:row r="158">
      <x:c r="A158" t="s">
        <x:v>12</x:v>
      </x:c>
      <x:c r="B158" t="s">
        <x:v>7</x:v>
      </x:c>
      <x:c r="C158" t="s">
        <x:v>20</x:v>
      </x:c>
      <x:c r="D158" s="14">
        <x:v>44649</x:v>
      </x:c>
      <x:c r="E158" s="16">
        <x:v>8029</x:v>
      </x:c>
      <x:c r="F158" s="18">
        <x:v>175</x:v>
      </x:c>
    </x:row>
    <x:row r="159">
      <x:c r="A159" t="s">
        <x:v>38</x:v>
      </x:c>
      <x:c r="B159" t="s">
        <x:v>15</x:v>
      </x:c>
      <x:c r="C159" t="s">
        <x:v>27</x:v>
      </x:c>
      <x:c r="D159" s="14">
        <x:v>44754</x:v>
      </x:c>
      <x:c r="E159" s="16">
        <x:v>854</x:v>
      </x:c>
      <x:c r="F159" s="18">
        <x:v>136</x:v>
      </x:c>
    </x:row>
    <x:row r="160">
      <x:c r="A160" t="s">
        <x:v>6</x:v>
      </x:c>
      <x:c r="B160" t="s">
        <x:v>29</x:v>
      </x:c>
      <x:c r="C160" t="s">
        <x:v>16</x:v>
      </x:c>
      <x:c r="D160" s="14">
        <x:v>44753</x:v>
      </x:c>
      <x:c r="E160" s="16">
        <x:v>5460</x:v>
      </x:c>
      <x:c r="F160" s="18">
        <x:v>138</x:v>
      </x:c>
    </x:row>
    <x:row r="161">
      <x:c r="A161" t="s">
        <x:v>31</x:v>
      </x:c>
      <x:c r="B161" t="s">
        <x:v>29</x:v>
      </x:c>
      <x:c r="C161" t="s">
        <x:v>16</x:v>
      </x:c>
      <x:c r="D161" s="14">
        <x:v>44580</x:v>
      </x:c>
      <x:c r="E161" s="16">
        <x:v>3017</x:v>
      </x:c>
      <x:c r="F161" s="18">
        <x:v>184</x:v>
      </x:c>
    </x:row>
    <x:row r="162">
      <x:c r="A162" t="s">
        <x:v>48</x:v>
      </x:c>
      <x:c r="B162" t="s">
        <x:v>26</x:v>
      </x:c>
      <x:c r="C162" t="s">
        <x:v>11</x:v>
      </x:c>
      <x:c r="D162" s="14">
        <x:v>44656</x:v>
      </x:c>
      <x:c r="E162" s="16">
        <x:v>8911</x:v>
      </x:c>
      <x:c r="F162" s="18">
        <x:v>82</x:v>
      </x:c>
    </x:row>
    <x:row r="163">
      <x:c r="A163" t="s">
        <x:v>6</x:v>
      </x:c>
      <x:c r="B163" t="s">
        <x:v>29</x:v>
      </x:c>
      <x:c r="C163" t="s">
        <x:v>37</x:v>
      </x:c>
      <x:c r="D163" s="14">
        <x:v>44613</x:v>
      </x:c>
      <x:c r="E163" s="16">
        <x:v>7203</x:v>
      </x:c>
      <x:c r="F163" s="18">
        <x:v>12</x:v>
      </x:c>
    </x:row>
    <x:row r="164">
      <x:c r="A164" t="s">
        <x:v>24</x:v>
      </x:c>
      <x:c r="B164" t="s">
        <x:v>21</x:v>
      </x:c>
      <x:c r="C164" t="s">
        <x:v>57</x:v>
      </x:c>
      <x:c r="D164" s="14">
        <x:v>44701</x:v>
      </x:c>
      <x:c r="E164" s="16">
        <x:v>13083</x:v>
      </x:c>
      <x:c r="F164" s="18">
        <x:v>14</x:v>
      </x:c>
    </x:row>
    <x:row r="165">
      <x:c r="A165" t="s">
        <x:v>28</x:v>
      </x:c>
      <x:c r="B165" t="s">
        <x:v>15</x:v>
      </x:c>
      <x:c r="C165" t="s">
        <x:v>37</x:v>
      </x:c>
      <x:c r="D165" s="14">
        <x:v>44771</x:v>
      </x:c>
      <x:c r="E165" s="16">
        <x:v>2779</x:v>
      </x:c>
      <x:c r="F165" s="18">
        <x:v>104</x:v>
      </x:c>
    </x:row>
    <x:row r="166">
      <x:c r="A166" t="s">
        <x:v>25</x:v>
      </x:c>
      <x:c r="B166" t="s">
        <x:v>26</x:v>
      </x:c>
      <x:c r="C166" t="s">
        <x:v>42</x:v>
      </x:c>
      <x:c r="D166" s="14">
        <x:v>44589</x:v>
      </x:c>
      <x:c r="E166" s="16">
        <x:v>9058</x:v>
      </x:c>
      <x:c r="F166" s="18">
        <x:v>46</x:v>
      </x:c>
    </x:row>
    <x:row r="167">
      <x:c r="A167" t="s">
        <x:v>33</x:v>
      </x:c>
      <x:c r="B167" t="s">
        <x:v>7</x:v>
      </x:c>
      <x:c r="C167" t="s">
        <x:v>57</x:v>
      </x:c>
      <x:c r="D167" s="14">
        <x:v>44761</x:v>
      </x:c>
      <x:c r="E167" s="16">
        <x:v>3549</x:v>
      </x:c>
      <x:c r="F167" s="18">
        <x:v>112</x:v>
      </x:c>
    </x:row>
    <x:row r="168">
      <x:c r="A168" t="s">
        <x:v>28</x:v>
      </x:c>
      <x:c r="B168" t="s">
        <x:v>21</x:v>
      </x:c>
      <x:c r="C168" t="s">
        <x:v>45</x:v>
      </x:c>
      <x:c r="D168" s="14">
        <x:v>44664</x:v>
      </x:c>
      <x:c r="E168" s="16">
        <x:v>9436</x:v>
      </x:c>
      <x:c r="F168" s="18">
        <x:v>11</x:v>
      </x:c>
    </x:row>
    <x:row r="169">
      <x:c r="A169" t="s">
        <x:v>36</x:v>
      </x:c>
      <x:c r="B169" t="s">
        <x:v>10</x:v>
      </x:c>
      <x:c r="C169" t="s">
        <x:v>13</x:v>
      </x:c>
      <x:c r="D169" s="14">
        <x:v>44603</x:v>
      </x:c>
      <x:c r="E169" s="16">
        <x:v>10283</x:v>
      </x:c>
      <x:c r="F169" s="18">
        <x:v>21</x:v>
      </x:c>
    </x:row>
    <x:row r="170">
      <x:c r="A170" t="s">
        <x:v>36</x:v>
      </x:c>
      <x:c r="B170" t="s">
        <x:v>21</x:v>
      </x:c>
      <x:c r="C170" t="s">
        <x:v>37</x:v>
      </x:c>
      <x:c r="D170" s="14">
        <x:v>44622</x:v>
      </x:c>
      <x:c r="E170" s="16">
        <x:v>5446</x:v>
      </x:c>
      <x:c r="F170" s="18">
        <x:v>116</x:v>
      </x:c>
    </x:row>
    <x:row r="171">
      <x:c r="A171" t="s">
        <x:v>55</x:v>
      </x:c>
      <x:c r="B171" t="s">
        <x:v>15</x:v>
      </x:c>
      <x:c r="C171" t="s">
        <x:v>44</x:v>
      </x:c>
      <x:c r="D171" s="14">
        <x:v>44622</x:v>
      </x:c>
      <x:c r="E171" s="16">
        <x:v>1043</x:v>
      </x:c>
      <x:c r="F171" s="18">
        <x:v>202</x:v>
      </x:c>
    </x:row>
    <x:row r="172">
      <x:c r="A172" t="s">
        <x:v>9</x:v>
      </x:c>
      <x:c r="B172" t="s">
        <x:v>26</x:v>
      </x:c>
      <x:c r="C172" t="s">
        <x:v>18</x:v>
      </x:c>
      <x:c r="D172" s="14">
        <x:v>44770</x:v>
      </x:c>
      <x:c r="E172" s="16">
        <x:v>12586</x:v>
      </x:c>
      <x:c r="F172" s="18">
        <x:v>6</x:v>
      </x:c>
    </x:row>
    <x:row r="173">
      <x:c r="A173" t="s">
        <x:v>49</x:v>
      </x:c>
      <x:c r="B173" t="s">
        <x:v>10</x:v>
      </x:c>
      <x:c r="C173" t="s">
        <x:v>20</x:v>
      </x:c>
      <x:c r="D173" s="14">
        <x:v>44568</x:v>
      </x:c>
      <x:c r="E173" s="16">
        <x:v>1687</x:v>
      </x:c>
      <x:c r="F173" s="18">
        <x:v>520</x:v>
      </x:c>
    </x:row>
    <x:row r="174">
      <x:c r="A174" t="s">
        <x:v>23</x:v>
      </x:c>
      <x:c r="B174" t="s">
        <x:v>7</x:v>
      </x:c>
      <x:c r="C174" t="s">
        <x:v>44</x:v>
      </x:c>
      <x:c r="D174" s="14">
        <x:v>44663</x:v>
      </x:c>
      <x:c r="E174" s="16">
        <x:v>5299</x:v>
      </x:c>
      <x:c r="F174" s="18">
        <x:v>167</x:v>
      </x:c>
    </x:row>
    <x:row r="175">
      <x:c r="A175" t="s">
        <x:v>9</x:v>
      </x:c>
      <x:c r="B175" t="s">
        <x:v>29</x:v>
      </x:c>
      <x:c r="C175" t="s">
        <x:v>47</x:v>
      </x:c>
      <x:c r="D175" s="14">
        <x:v>44739</x:v>
      </x:c>
      <x:c r="E175" s="16">
        <x:v>3213</x:v>
      </x:c>
      <x:c r="F175" s="18">
        <x:v>72</x:v>
      </x:c>
    </x:row>
    <x:row r="176">
      <x:c r="A176" t="s">
        <x:v>6</x:v>
      </x:c>
      <x:c r="B176" t="s">
        <x:v>15</x:v>
      </x:c>
      <x:c r="C176" t="s">
        <x:v>22</x:v>
      </x:c>
      <x:c r="D176" s="14">
        <x:v>44575</x:v>
      </x:c>
      <x:c r="E176" s="16">
        <x:v>5194</x:v>
      </x:c>
      <x:c r="F176" s="18">
        <x:v>418</x:v>
      </x:c>
    </x:row>
    <x:row r="177">
      <x:c r="A177" t="s">
        <x:v>31</x:v>
      </x:c>
      <x:c r="B177" t="s">
        <x:v>7</x:v>
      </x:c>
      <x:c r="C177" t="s">
        <x:v>56</x:v>
      </x:c>
      <x:c r="D177" s="14">
        <x:v>44599</x:v>
      </x:c>
      <x:c r="E177" s="16">
        <x:v>4753</x:v>
      </x:c>
      <x:c r="F177" s="18">
        <x:v>389</x:v>
      </x:c>
    </x:row>
    <x:row r="178">
      <x:c r="A178" t="s">
        <x:v>6</x:v>
      </x:c>
      <x:c r="B178" t="s">
        <x:v>15</x:v>
      </x:c>
      <x:c r="C178" t="s">
        <x:v>27</x:v>
      </x:c>
      <x:c r="D178" s="14">
        <x:v>44643</x:v>
      </x:c>
      <x:c r="E178" s="16">
        <x:v>13706</x:v>
      </x:c>
      <x:c r="F178" s="18">
        <x:v>26</x:v>
      </x:c>
    </x:row>
    <x:row r="179">
      <x:c r="A179" t="s">
        <x:v>33</x:v>
      </x:c>
      <x:c r="B179" t="s">
        <x:v>10</x:v>
      </x:c>
      <x:c r="C179" t="s">
        <x:v>13</x:v>
      </x:c>
      <x:c r="D179" s="14">
        <x:v>44571</x:v>
      </x:c>
      <x:c r="E179" s="16">
        <x:v>6489</x:v>
      </x:c>
      <x:c r="F179" s="18">
        <x:v>146</x:v>
      </x:c>
    </x:row>
    <x:row r="180">
      <x:c r="A180" t="s">
        <x:v>17</x:v>
      </x:c>
      <x:c r="B180" t="s">
        <x:v>7</x:v>
      </x:c>
      <x:c r="C180" t="s">
        <x:v>52</x:v>
      </x:c>
      <x:c r="D180" s="14">
        <x:v>44637</x:v>
      </x:c>
      <x:c r="E180" s="16">
        <x:v>9324</x:v>
      </x:c>
      <x:c r="F180" s="18">
        <x:v>41</x:v>
      </x:c>
    </x:row>
    <x:row r="181">
      <x:c r="A181" t="s">
        <x:v>12</x:v>
      </x:c>
      <x:c r="B181" t="s">
        <x:v>26</x:v>
      </x:c>
      <x:c r="C181" t="s">
        <x:v>39</x:v>
      </x:c>
      <x:c r="D181" s="14">
        <x:v>44582</x:v>
      </x:c>
      <x:c r="E181" s="16">
        <x:v>10829</x:v>
      </x:c>
      <x:c r="F181" s="18">
        <x:v>54</x:v>
      </x:c>
    </x:row>
    <x:row r="182">
      <x:c r="A182" t="s">
        <x:v>25</x:v>
      </x:c>
      <x:c r="B182" t="s">
        <x:v>15</x:v>
      </x:c>
      <x:c r="C182" t="s">
        <x:v>44</x:v>
      </x:c>
      <x:c r="D182" s="14">
        <x:v>44746</x:v>
      </x:c>
      <x:c r="E182" s="16">
        <x:v>8113</x:v>
      </x:c>
      <x:c r="F182" s="18">
        <x:v>370</x:v>
      </x:c>
    </x:row>
    <x:row r="183">
      <x:c r="A183" t="s">
        <x:v>41</x:v>
      </x:c>
      <x:c r="B183" t="s">
        <x:v>29</x:v>
      </x:c>
      <x:c r="C183" t="s">
        <x:v>13</x:v>
      </x:c>
      <x:c r="D183" s="14">
        <x:v>44746</x:v>
      </x:c>
      <x:c r="E183" s="16">
        <x:v>3269</x:v>
      </x:c>
      <x:c r="F183" s="18">
        <x:v>176</x:v>
      </x:c>
    </x:row>
    <x:row r="184">
      <x:c r="A184" t="s">
        <x:v>54</x:v>
      </x:c>
      <x:c r="B184" t="s">
        <x:v>26</x:v>
      </x:c>
      <x:c r="C184" t="s">
        <x:v>45</x:v>
      </x:c>
      <x:c r="D184" s="14">
        <x:v>44783</x:v>
      </x:c>
      <x:c r="E184" s="16">
        <x:v>273</x:v>
      </x:c>
      <x:c r="F184" s="18">
        <x:v>210</x:v>
      </x:c>
    </x:row>
    <x:row r="185">
      <x:c r="A185" t="s">
        <x:v>43</x:v>
      </x:c>
      <x:c r="B185" t="s">
        <x:v>15</x:v>
      </x:c>
      <x:c r="C185" t="s">
        <x:v>22</x:v>
      </x:c>
      <x:c r="D185" s="14">
        <x:v>44652</x:v>
      </x:c>
      <x:c r="E185" s="16">
        <x:v>7287</x:v>
      </x:c>
      <x:c r="F185" s="18">
        <x:v>12</x:v>
      </x:c>
    </x:row>
    <x:row r="186">
      <x:c r="A186" t="s">
        <x:v>12</x:v>
      </x:c>
      <x:c r="B186" t="s">
        <x:v>10</x:v>
      </x:c>
      <x:c r="C186" t="s">
        <x:v>51</x:v>
      </x:c>
      <x:c r="D186" s="14">
        <x:v>44614</x:v>
      </x:c>
      <x:c r="E186" s="16">
        <x:v>2583</x:v>
      </x:c>
      <x:c r="F186" s="18">
        <x:v>159</x:v>
      </x:c>
    </x:row>
    <x:row r="187">
      <x:c r="A187" t="s">
        <x:v>50</x:v>
      </x:c>
      <x:c r="B187" t="s">
        <x:v>7</x:v>
      </x:c>
      <x:c r="C187" t="s">
        <x:v>44</x:v>
      </x:c>
      <x:c r="D187" s="14">
        <x:v>44564</x:v>
      </x:c>
      <x:c r="E187" s="16">
        <x:v>9982</x:v>
      </x:c>
      <x:c r="F187" s="18">
        <x:v>187</x:v>
      </x:c>
    </x:row>
    <x:row r="188">
      <x:c r="A188" t="s">
        <x:v>31</x:v>
      </x:c>
      <x:c r="B188" t="s">
        <x:v>10</x:v>
      </x:c>
      <x:c r="C188" t="s">
        <x:v>32</x:v>
      </x:c>
      <x:c r="D188" s="14">
        <x:v>44712</x:v>
      </x:c>
      <x:c r="E188" s="16">
        <x:v>4795</x:v>
      </x:c>
      <x:c r="F188" s="18">
        <x:v>233</x:v>
      </x:c>
    </x:row>
    <x:row r="189">
      <x:c r="A189" t="s">
        <x:v>54</x:v>
      </x:c>
      <x:c r="B189" t="s">
        <x:v>7</x:v>
      </x:c>
      <x:c r="C189" t="s">
        <x:v>18</x:v>
      </x:c>
      <x:c r="D189" s="14">
        <x:v>44564</x:v>
      </x:c>
      <x:c r="E189" s="16">
        <x:v>9310</x:v>
      </x:c>
      <x:c r="F189" s="18">
        <x:v>282</x:v>
      </x:c>
    </x:row>
    <x:row r="190">
      <x:c r="A190" t="s">
        <x:v>40</x:v>
      </x:c>
      <x:c r="B190" t="s">
        <x:v>21</x:v>
      </x:c>
      <x:c r="C190" t="s">
        <x:v>57</x:v>
      </x:c>
      <x:c r="D190" s="14">
        <x:v>44588</x:v>
      </x:c>
      <x:c r="E190" s="16">
        <x:v>497</x:v>
      </x:c>
      <x:c r="F190" s="18">
        <x:v>475</x:v>
      </x:c>
    </x:row>
    <x:row r="191">
      <x:c r="A191" t="s">
        <x:v>25</x:v>
      </x:c>
      <x:c r="B191" t="s">
        <x:v>7</x:v>
      </x:c>
      <x:c r="C191" t="s">
        <x:v>22</x:v>
      </x:c>
      <x:c r="D191" s="14">
        <x:v>44589</x:v>
      </x:c>
      <x:c r="E191" s="16">
        <x:v>581</x:v>
      </x:c>
      <x:c r="F191" s="18">
        <x:v>65</x:v>
      </x:c>
    </x:row>
    <x:row r="192">
      <x:c r="A192" t="s">
        <x:v>38</x:v>
      </x:c>
      <x:c r="B192" t="s">
        <x:v>15</x:v>
      </x:c>
      <x:c r="C192" t="s">
        <x:v>35</x:v>
      </x:c>
      <x:c r="D192" s="14">
        <x:v>44740</x:v>
      </x:c>
      <x:c r="E192" s="16">
        <x:v>3472</x:v>
      </x:c>
      <x:c r="F192" s="18">
        <x:v>311</x:v>
      </x:c>
    </x:row>
    <x:row r="193">
      <x:c r="A193" t="s">
        <x:v>40</x:v>
      </x:c>
      <x:c r="B193" t="s">
        <x:v>7</x:v>
      </x:c>
      <x:c r="C193" t="s">
        <x:v>52</x:v>
      </x:c>
      <x:c r="D193" s="14">
        <x:v>44622</x:v>
      </x:c>
      <x:c r="E193" s="16">
        <x:v>4333</x:v>
      </x:c>
      <x:c r="F193" s="18">
        <x:v>43</x:v>
      </x:c>
    </x:row>
    <x:row r="194">
      <x:c r="A194" t="s">
        <x:v>46</x:v>
      </x:c>
      <x:c r="B194" t="s">
        <x:v>15</x:v>
      </x:c>
      <x:c r="C194" t="s">
        <x:v>20</x:v>
      </x:c>
      <x:c r="D194" s="14">
        <x:v>44708</x:v>
      </x:c>
      <x:c r="E194" s="16">
        <x:v>3325</x:v>
      </x:c>
      <x:c r="F194" s="18">
        <x:v>26</x:v>
      </x:c>
    </x:row>
    <x:row r="195">
      <x:c r="A195" t="s">
        <x:v>43</x:v>
      </x:c>
      <x:c r="B195" t="s">
        <x:v>26</x:v>
      </x:c>
      <x:c r="C195" t="s">
        <x:v>47</x:v>
      </x:c>
      <x:c r="D195" s="14">
        <x:v>44742</x:v>
      </x:c>
      <x:c r="E195" s="16">
        <x:v>11718</x:v>
      </x:c>
      <x:c r="F195" s="18">
        <x:v>84</x:v>
      </x:c>
    </x:row>
    <x:row r="196">
      <x:c r="A196" t="s">
        <x:v>25</x:v>
      </x:c>
      <x:c r="B196" t="s">
        <x:v>29</x:v>
      </x:c>
      <x:c r="C196" t="s">
        <x:v>13</x:v>
      </x:c>
      <x:c r="D196" s="14">
        <x:v>44719</x:v>
      </x:c>
      <x:c r="E196" s="16">
        <x:v>2100</x:v>
      </x:c>
      <x:c r="F196" s="18">
        <x:v>78</x:v>
      </x:c>
    </x:row>
    <x:row r="197">
      <x:c r="A197" t="s">
        <x:v>41</x:v>
      </x:c>
      <x:c r="B197" t="s">
        <x:v>26</x:v>
      </x:c>
      <x:c r="C197" t="s">
        <x:v>58</x:v>
      </x:c>
      <x:c r="D197" s="14">
        <x:v>44693</x:v>
      </x:c>
      <x:c r="E197" s="16">
        <x:v>4018</x:v>
      </x:c>
      <x:c r="F197" s="18">
        <x:v>100</x:v>
      </x:c>
    </x:row>
    <x:row r="198">
      <x:c r="A198" t="s">
        <x:v>25</x:v>
      </x:c>
      <x:c r="B198" t="s">
        <x:v>21</x:v>
      </x:c>
      <x:c r="C198" t="s">
        <x:v>51</x:v>
      </x:c>
      <x:c r="D198" s="14">
        <x:v>44771</x:v>
      </x:c>
      <x:c r="E198" s="16">
        <x:v>6468</x:v>
      </x:c>
      <x:c r="F198" s="18">
        <x:v>66</x:v>
      </x:c>
    </x:row>
    <x:row r="199">
      <x:c r="A199" t="s">
        <x:v>43</x:v>
      </x:c>
      <x:c r="B199" t="s">
        <x:v>7</x:v>
      </x:c>
      <x:c r="C199" t="s">
        <x:v>44</x:v>
      </x:c>
      <x:c r="D199" s="14">
        <x:v>44776</x:v>
      </x:c>
      <x:c r="E199" s="16">
        <x:v>7238</x:v>
      </x:c>
      <x:c r="F199" s="18">
        <x:v>265</x:v>
      </x:c>
    </x:row>
    <x:row r="200">
      <x:c r="A200" t="s">
        <x:v>25</x:v>
      </x:c>
      <x:c r="B200" t="s">
        <x:v>10</x:v>
      </x:c>
      <x:c r="C200" t="s">
        <x:v>56</x:v>
      </x:c>
      <x:c r="D200" s="14">
        <x:v>44791</x:v>
      </x:c>
      <x:c r="E200" s="16">
        <x:v>6454</x:v>
      </x:c>
      <x:c r="F200" s="18">
        <x:v>141</x:v>
      </x:c>
    </x:row>
    <x:row r="201">
      <x:c r="A201" t="s">
        <x:v>9</x:v>
      </x:c>
      <x:c r="B201" t="s">
        <x:v>21</x:v>
      </x:c>
      <x:c r="C201" t="s">
        <x:v>16</x:v>
      </x:c>
      <x:c r="D201" s="14">
        <x:v>44726</x:v>
      </x:c>
      <x:c r="E201" s="16">
        <x:v>3115</x:v>
      </x:c>
      <x:c r="F201" s="18">
        <x:v>42</x:v>
      </x:c>
    </x:row>
    <x:row r="202">
      <x:c r="A202" t="s">
        <x:v>34</x:v>
      </x:c>
      <x:c r="B202" t="s">
        <x:v>7</x:v>
      </x:c>
      <x:c r="C202" t="s">
        <x:v>44</x:v>
      </x:c>
      <x:c r="D202" s="14">
        <x:v>44742</x:v>
      </x:c>
      <x:c r="E202" s="16">
        <x:v>6475</x:v>
      </x:c>
      <x:c r="F202" s="18">
        <x:v>76</x:v>
      </x:c>
    </x:row>
    <x:row r="203">
      <x:c r="A203" t="s">
        <x:v>50</x:v>
      </x:c>
      <x:c r="B203" t="s">
        <x:v>21</x:v>
      </x:c>
      <x:c r="C203" t="s">
        <x:v>8</x:v>
      </x:c>
      <x:c r="D203" s="14">
        <x:v>44725</x:v>
      </x:c>
      <x:c r="E203" s="16">
        <x:v>1162</x:v>
      </x:c>
      <x:c r="F203" s="18">
        <x:v>190</x:v>
      </x:c>
    </x:row>
    <x:row r="204">
      <x:c r="A204" t="s">
        <x:v>55</x:v>
      </x:c>
      <x:c r="B204" t="s">
        <x:v>7</x:v>
      </x:c>
      <x:c r="C204" t="s">
        <x:v>27</x:v>
      </x:c>
      <x:c r="D204" s="14">
        <x:v>44678</x:v>
      </x:c>
      <x:c r="E204" s="16">
        <x:v>14238</x:v>
      </x:c>
      <x:c r="F204" s="18">
        <x:v>54</x:v>
      </x:c>
    </x:row>
    <x:row r="205">
      <x:c r="A205" t="s">
        <x:v>14</x:v>
      </x:c>
      <x:c r="B205" t="s">
        <x:v>15</x:v>
      </x:c>
      <x:c r="C205" t="s">
        <x:v>44</x:v>
      </x:c>
      <x:c r="D205" s="14">
        <x:v>44769</x:v>
      </x:c>
      <x:c r="E205" s="16">
        <x:v>3472</x:v>
      </x:c>
      <x:c r="F205" s="18">
        <x:v>32</x:v>
      </x:c>
    </x:row>
    <x:row r="206">
      <x:c r="A206" t="s">
        <x:v>28</x:v>
      </x:c>
      <x:c r="B206" t="s">
        <x:v>29</x:v>
      </x:c>
      <x:c r="C206" t="s">
        <x:v>11</x:v>
      </x:c>
      <x:c r="D206" s="14">
        <x:v>44671</x:v>
      </x:c>
      <x:c r="E206" s="16">
        <x:v>1428</x:v>
      </x:c>
      <x:c r="F206" s="18">
        <x:v>424</x:v>
      </x:c>
    </x:row>
    <x:row r="207">
      <x:c r="A207" t="s">
        <x:v>24</x:v>
      </x:c>
      <x:c r="B207" t="s">
        <x:v>10</x:v>
      </x:c>
      <x:c r="C207" t="s">
        <x:v>39</x:v>
      </x:c>
      <x:c r="D207" s="14">
        <x:v>44565</x:v>
      </x:c>
      <x:c r="E207" s="16">
        <x:v>8064</x:v>
      </x:c>
      <x:c r="F207" s="18">
        <x:v>134</x:v>
      </x:c>
    </x:row>
    <x:row r="208">
      <x:c r="A208" t="s">
        <x:v>55</x:v>
      </x:c>
      <x:c r="B208" t="s">
        <x:v>15</x:v>
      </x:c>
      <x:c r="C208" t="s">
        <x:v>8</x:v>
      </x:c>
      <x:c r="D208" s="14">
        <x:v>44613</x:v>
      </x:c>
      <x:c r="E208" s="16">
        <x:v>9660</x:v>
      </x:c>
      <x:c r="F208" s="18">
        <x:v>92</x:v>
      </x:c>
    </x:row>
    <x:row r="209">
      <x:c r="A209" t="s">
        <x:v>31</x:v>
      </x:c>
      <x:c r="B209" t="s">
        <x:v>15</x:v>
      </x:c>
      <x:c r="C209" t="s">
        <x:v>44</x:v>
      </x:c>
      <x:c r="D209" s="14">
        <x:v>44566</x:v>
      </x:c>
      <x:c r="E209" s="16">
        <x:v>7357</x:v>
      </x:c>
      <x:c r="F209" s="18">
        <x:v>48</x:v>
      </x:c>
    </x:row>
    <x:row r="210">
      <x:c r="A210" t="s">
        <x:v>34</x:v>
      </x:c>
      <x:c r="B210" t="s">
        <x:v>10</x:v>
      </x:c>
      <x:c r="C210" t="s">
        <x:v>32</x:v>
      </x:c>
      <x:c r="D210" s="14">
        <x:v>44757</x:v>
      </x:c>
      <x:c r="E210" s="16">
        <x:v>6055</x:v>
      </x:c>
      <x:c r="F210" s="18">
        <x:v>46</x:v>
      </x:c>
    </x:row>
    <x:row r="211">
      <x:c r="A211" t="s">
        <x:v>23</x:v>
      </x:c>
      <x:c r="B211" t="s">
        <x:v>15</x:v>
      </x:c>
      <x:c r="C211" t="s">
        <x:v>52</x:v>
      </x:c>
      <x:c r="D211" s="14">
        <x:v>44706</x:v>
      </x:c>
      <x:c r="E211" s="16">
        <x:v>5124</x:v>
      </x:c>
      <x:c r="F211" s="18">
        <x:v>62</x:v>
      </x:c>
    </x:row>
    <x:row r="212">
      <x:c r="A212" t="s">
        <x:v>31</x:v>
      </x:c>
      <x:c r="B212" t="s">
        <x:v>29</x:v>
      </x:c>
      <x:c r="C212" t="s">
        <x:v>30</x:v>
      </x:c>
      <x:c r="D212" s="14">
        <x:v>44671</x:v>
      </x:c>
      <x:c r="E212" s="16">
        <x:v>3479</x:v>
      </x:c>
      <x:c r="F212" s="18">
        <x:v>358</x:v>
      </x:c>
    </x:row>
    <x:row r="213">
      <x:c r="A213" t="s">
        <x:v>12</x:v>
      </x:c>
      <x:c r="B213" t="s">
        <x:v>26</x:v>
      </x:c>
      <x:c r="C213" t="s">
        <x:v>18</x:v>
      </x:c>
      <x:c r="D213" s="14">
        <x:v>44714</x:v>
      </x:c>
      <x:c r="E213" s="16">
        <x:v>784</x:v>
      </x:c>
      <x:c r="F213" s="18">
        <x:v>249</x:v>
      </x:c>
    </x:row>
    <x:row r="214">
      <x:c r="A214" t="s">
        <x:v>33</x:v>
      </x:c>
      <x:c r="B214" t="s">
        <x:v>7</x:v>
      </x:c>
      <x:c r="C214" t="s">
        <x:v>16</x:v>
      </x:c>
      <x:c r="D214" s="14">
        <x:v>44694</x:v>
      </x:c>
      <x:c r="E214" s="16">
        <x:v>18991</x:v>
      </x:c>
      <x:c r="F214" s="18">
        <x:v>88</x:v>
      </x:c>
    </x:row>
    <x:row r="215">
      <x:c r="A215" t="s">
        <x:v>34</x:v>
      </x:c>
      <x:c r="B215" t="s">
        <x:v>21</x:v>
      </x:c>
      <x:c r="C215" t="s">
        <x:v>56</x:v>
      </x:c>
      <x:c r="D215" s="14">
        <x:v>44776</x:v>
      </x:c>
      <x:c r="E215" s="16">
        <x:v>1372</x:v>
      </x:c>
      <x:c r="F215" s="18">
        <x:v>144</x:v>
      </x:c>
    </x:row>
    <x:row r="216">
      <x:c r="A216" t="s">
        <x:v>34</x:v>
      </x:c>
      <x:c r="B216" t="s">
        <x:v>15</x:v>
      </x:c>
      <x:c r="C216" t="s">
        <x:v>37</x:v>
      </x:c>
      <x:c r="D216" s="14">
        <x:v>44706</x:v>
      </x:c>
      <x:c r="E216" s="16">
        <x:v>735</x:v>
      </x:c>
      <x:c r="F216" s="18">
        <x:v>390</x:v>
      </x:c>
    </x:row>
    <x:row r="217">
      <x:c r="A217" t="s">
        <x:v>9</x:v>
      </x:c>
      <x:c r="B217" t="s">
        <x:v>7</x:v>
      </x:c>
      <x:c r="C217" t="s">
        <x:v>51</x:v>
      </x:c>
      <x:c r="D217" s="14">
        <x:v>44636</x:v>
      </x:c>
      <x:c r="E217" s="16">
        <x:v>6538</x:v>
      </x:c>
      <x:c r="F217" s="18">
        <x:v>79</x:v>
      </x:c>
    </x:row>
    <x:row r="218">
      <x:c r="A218" t="s">
        <x:v>14</x:v>
      </x:c>
      <x:c r="B218" t="s">
        <x:v>15</x:v>
      </x:c>
      <x:c r="C218" t="s">
        <x:v>27</x:v>
      </x:c>
      <x:c r="D218" s="14">
        <x:v>44746</x:v>
      </x:c>
      <x:c r="E218" s="16">
        <x:v>3199</x:v>
      </x:c>
      <x:c r="F218" s="18">
        <x:v>122</x:v>
      </x:c>
    </x:row>
    <x:row r="219">
      <x:c r="A219" t="s">
        <x:v>6</x:v>
      </x:c>
      <x:c r="B219" t="s">
        <x:v>10</x:v>
      </x:c>
      <x:c r="C219" t="s">
        <x:v>22</x:v>
      </x:c>
      <x:c r="D219" s="14">
        <x:v>44747</x:v>
      </x:c>
      <x:c r="E219" s="16">
        <x:v>3472</x:v>
      </x:c>
      <x:c r="F219" s="18">
        <x:v>135</x:v>
      </x:c>
    </x:row>
    <x:row r="220">
      <x:c r="A220" t="s">
        <x:v>53</x:v>
      </x:c>
      <x:c r="B220" t="s">
        <x:v>26</x:v>
      </x:c>
      <x:c r="C220" t="s">
        <x:v>20</x:v>
      </x:c>
      <x:c r="D220" s="14">
        <x:v>44635</x:v>
      </x:c>
      <x:c r="E220" s="16">
        <x:v>4571</x:v>
      </x:c>
      <x:c r="F220" s="18">
        <x:v>430</x:v>
      </x:c>
    </x:row>
    <x:row r="221">
      <x:c r="A221" t="s">
        <x:v>25</x:v>
      </x:c>
      <x:c r="B221" t="s">
        <x:v>7</x:v>
      </x:c>
      <x:c r="C221" t="s">
        <x:v>51</x:v>
      </x:c>
      <x:c r="D221" s="14">
        <x:v>44795</x:v>
      </x:c>
      <x:c r="E221" s="16">
        <x:v>5481</x:v>
      </x:c>
      <x:c r="F221" s="18">
        <x:v>69</x:v>
      </x:c>
    </x:row>
    <x:row r="222">
      <x:c r="A222" t="s">
        <x:v>55</x:v>
      </x:c>
      <x:c r="B222" t="s">
        <x:v>15</x:v>
      </x:c>
      <x:c r="C222" t="s">
        <x:v>58</x:v>
      </x:c>
      <x:c r="D222" s="14">
        <x:v>44573</x:v>
      </x:c>
      <x:c r="E222" s="16">
        <x:v>3136</x:v>
      </x:c>
      <x:c r="F222" s="18">
        <x:v>125</x:v>
      </x:c>
    </x:row>
    <x:row r="223">
      <x:c r="A223" t="s">
        <x:v>33</x:v>
      </x:c>
      <x:c r="B223" t="s">
        <x:v>7</x:v>
      </x:c>
      <x:c r="C223" t="s">
        <x:v>56</x:v>
      </x:c>
      <x:c r="D223" s="14">
        <x:v>44722</x:v>
      </x:c>
      <x:c r="E223" s="16">
        <x:v>252</x:v>
      </x:c>
      <x:c r="F223" s="18">
        <x:v>154</x:v>
      </x:c>
    </x:row>
    <x:row r="224">
      <x:c r="A224" t="s">
        <x:v>41</x:v>
      </x:c>
      <x:c r="B224" t="s">
        <x:v>15</x:v>
      </x:c>
      <x:c r="C224" t="s">
        <x:v>13</x:v>
      </x:c>
      <x:c r="D224" s="14">
        <x:v>44645</x:v>
      </x:c>
      <x:c r="E224" s="16">
        <x:v>5460</x:v>
      </x:c>
      <x:c r="F224" s="18">
        <x:v>286</x:v>
      </x:c>
    </x:row>
    <x:row r="225">
      <x:c r="A225" t="s">
        <x:v>24</x:v>
      </x:c>
      <x:c r="B225" t="s">
        <x:v>10</x:v>
      </x:c>
      <x:c r="C225" t="s">
        <x:v>47</x:v>
      </x:c>
      <x:c r="D225" s="14">
        <x:v>44769</x:v>
      </x:c>
      <x:c r="E225" s="16">
        <x:v>3395</x:v>
      </x:c>
      <x:c r="F225" s="18">
        <x:v>99</x:v>
      </x:c>
    </x:row>
    <x:row r="226">
      <x:c r="A226" t="s">
        <x:v>40</x:v>
      </x:c>
      <x:c r="B226" t="s">
        <x:v>7</x:v>
      </x:c>
      <x:c r="C226" t="s">
        <x:v>57</x:v>
      </x:c>
      <x:c r="D226" s="14">
        <x:v>44666</x:v>
      </x:c>
      <x:c r="E226" s="16">
        <x:v>14938</x:v>
      </x:c>
      <x:c r="F226" s="18">
        <x:v>433</x:v>
      </x:c>
    </x:row>
    <x:row r="227">
      <x:c r="A227" t="s">
        <x:v>36</x:v>
      </x:c>
      <x:c r="B227" t="s">
        <x:v>10</x:v>
      </x:c>
      <x:c r="C227" t="s">
        <x:v>27</x:v>
      </x:c>
      <x:c r="D227" s="14">
        <x:v>44739</x:v>
      </x:c>
      <x:c r="E227" s="16">
        <x:v>4053</x:v>
      </x:c>
      <x:c r="F227" s="18">
        <x:v>19</x:v>
      </x:c>
    </x:row>
    <x:row r="228">
      <x:c r="A228" t="s">
        <x:v>6</x:v>
      </x:c>
      <x:c r="B228" t="s">
        <x:v>7</x:v>
      </x:c>
      <x:c r="C228" t="s">
        <x:v>58</x:v>
      </x:c>
      <x:c r="D228" s="14">
        <x:v>44665</x:v>
      </x:c>
      <x:c r="E228" s="16">
        <x:v>5565</x:v>
      </x:c>
      <x:c r="F228" s="18">
        <x:v>258</x:v>
      </x:c>
    </x:row>
    <x:row r="229">
      <x:c r="A229" t="s">
        <x:v>40</x:v>
      </x:c>
      <x:c r="B229" t="s">
        <x:v>15</x:v>
      </x:c>
      <x:c r="C229" t="s">
        <x:v>45</x:v>
      </x:c>
      <x:c r="D229" s="14">
        <x:v>44635</x:v>
      </x:c>
      <x:c r="E229" s="16">
        <x:v>7161</x:v>
      </x:c>
      <x:c r="F229" s="18">
        <x:v>92</x:v>
      </x:c>
    </x:row>
    <x:row r="230">
      <x:c r="A230" t="s">
        <x:v>53</x:v>
      </x:c>
      <x:c r="B230" t="s">
        <x:v>26</x:v>
      </x:c>
      <x:c r="C230" t="s">
        <x:v>30</x:v>
      </x:c>
      <x:c r="D230" s="14">
        <x:v>44638</x:v>
      </x:c>
      <x:c r="E230" s="16">
        <x:v>8883</x:v>
      </x:c>
      <x:c r="F230" s="18">
        <x:v>200</x:v>
      </x:c>
    </x:row>
    <x:row r="231">
      <x:c r="A231" t="s">
        <x:v>23</x:v>
      </x:c>
      <x:c r="B231" t="s">
        <x:v>10</x:v>
      </x:c>
      <x:c r="C231" t="s">
        <x:v>30</x:v>
      </x:c>
      <x:c r="D231" s="14">
        <x:v>44680</x:v>
      </x:c>
      <x:c r="E231" s="16">
        <x:v>1351</x:v>
      </x:c>
      <x:c r="F231" s="18">
        <x:v>61</x:v>
      </x:c>
    </x:row>
    <x:row r="232">
      <x:c r="A232" t="s">
        <x:v>28</x:v>
      </x:c>
      <x:c r="B232" t="s">
        <x:v>21</x:v>
      </x:c>
      <x:c r="C232" t="s">
        <x:v>44</x:v>
      </x:c>
      <x:c r="D232" s="14">
        <x:v>44617</x:v>
      </x:c>
      <x:c r="E232" s="16">
        <x:v>3171</x:v>
      </x:c>
      <x:c r="F232" s="18">
        <x:v>246</x:v>
      </x:c>
    </x:row>
    <x:row r="233">
      <x:c r="A233" t="s">
        <x:v>40</x:v>
      </x:c>
      <x:c r="B233" t="s">
        <x:v>26</x:v>
      </x:c>
      <x:c r="C233" t="s">
        <x:v>37</x:v>
      </x:c>
      <x:c r="D233" s="14">
        <x:v>44622</x:v>
      </x:c>
      <x:c r="E233" s="16">
        <x:v>854</x:v>
      </x:c>
      <x:c r="F233" s="18">
        <x:v>56</x:v>
      </x:c>
    </x:row>
    <x:row r="234">
      <x:c r="A234" t="s">
        <x:v>9</x:v>
      </x:c>
      <x:c r="B234" t="s">
        <x:v>15</x:v>
      </x:c>
      <x:c r="C234" t="s">
        <x:v>37</x:v>
      </x:c>
      <x:c r="D234" s="14">
        <x:v>44732</x:v>
      </x:c>
      <x:c r="E234" s="16">
        <x:v>7910</x:v>
      </x:c>
      <x:c r="F234" s="18">
        <x:v>87</x:v>
      </x:c>
    </x:row>
    <x:row r="235">
      <x:c r="A235" t="s">
        <x:v>34</x:v>
      </x:c>
      <x:c r="B235" t="s">
        <x:v>29</x:v>
      </x:c>
      <x:c r="C235" t="s">
        <x:v>44</x:v>
      </x:c>
      <x:c r="D235" s="14">
        <x:v>44757</x:v>
      </x:c>
      <x:c r="E235" s="16">
        <x:v>9275</x:v>
      </x:c>
      <x:c r="F235" s="18">
        <x:v>173</x:v>
      </x:c>
    </x:row>
    <x:row r="236">
      <x:c r="A236" t="s">
        <x:v>54</x:v>
      </x:c>
      <x:c r="B236" t="s">
        <x:v>15</x:v>
      </x:c>
      <x:c r="C236" t="s">
        <x:v>22</x:v>
      </x:c>
      <x:c r="D236" s="14">
        <x:v>44693</x:v>
      </x:c>
      <x:c r="E236" s="16">
        <x:v>3108</x:v>
      </x:c>
      <x:c r="F236" s="18">
        <x:v>252</x:v>
      </x:c>
    </x:row>
    <x:row r="237">
      <x:c r="A237" t="s">
        <x:v>28</x:v>
      </x:c>
      <x:c r="B237" t="s">
        <x:v>21</x:v>
      </x:c>
      <x:c r="C237" t="s">
        <x:v>35</x:v>
      </x:c>
      <x:c r="D237" s="14">
        <x:v>44743</x:v>
      </x:c>
      <x:c r="E237" s="16">
        <x:v>5075</x:v>
      </x:c>
      <x:c r="F237" s="18">
        <x:v>256</x:v>
      </x:c>
    </x:row>
    <x:row r="238">
      <x:c r="A238" t="s">
        <x:v>40</x:v>
      </x:c>
      <x:c r="B238" t="s">
        <x:v>26</x:v>
      </x:c>
      <x:c r="C238" t="s">
        <x:v>11</x:v>
      </x:c>
      <x:c r="D238" s="14">
        <x:v>44781</x:v>
      </x:c>
      <x:c r="E238" s="16">
        <x:v>378</x:v>
      </x:c>
      <x:c r="F238" s="18">
        <x:v>54</x:v>
      </x:c>
    </x:row>
    <x:row r="239">
      <x:c r="A239" t="s">
        <x:v>53</x:v>
      </x:c>
      <x:c r="B239" t="s">
        <x:v>15</x:v>
      </x:c>
      <x:c r="C239" t="s">
        <x:v>22</x:v>
      </x:c>
      <x:c r="D239" s="14">
        <x:v>44767</x:v>
      </x:c>
      <x:c r="E239" s="16">
        <x:v>7350</x:v>
      </x:c>
      <x:c r="F239" s="18">
        <x:v>6</x:v>
      </x:c>
    </x:row>
    <x:row r="240">
      <x:c r="A240" t="s">
        <x:v>46</x:v>
      </x:c>
      <x:c r="B240" t="s">
        <x:v>7</x:v>
      </x:c>
      <x:c r="C240" t="s">
        <x:v>32</x:v>
      </x:c>
      <x:c r="D240" s="14">
        <x:v>44699</x:v>
      </x:c>
      <x:c r="E240" s="16">
        <x:v>3388</x:v>
      </x:c>
      <x:c r="F240" s="18">
        <x:v>55</x:v>
      </x:c>
    </x:row>
    <x:row r="241">
      <x:c r="A241" t="s">
        <x:v>50</x:v>
      </x:c>
      <x:c r="B241" t="s">
        <x:v>10</x:v>
      </x:c>
      <x:c r="C241" t="s">
        <x:v>13</x:v>
      </x:c>
      <x:c r="D241" s="14">
        <x:v>44757</x:v>
      </x:c>
      <x:c r="E241" s="16">
        <x:v>11837</x:v>
      </x:c>
      <x:c r="F241" s="18">
        <x:v>277</x:v>
      </x:c>
    </x:row>
    <x:row r="242">
      <x:c r="A242" t="s">
        <x:v>38</x:v>
      </x:c>
      <x:c r="B242" t="s">
        <x:v>10</x:v>
      </x:c>
      <x:c r="C242" t="s">
        <x:v>58</x:v>
      </x:c>
      <x:c r="D242" s="14">
        <x:v>44747</x:v>
      </x:c>
      <x:c r="E242" s="16">
        <x:v>2282</x:v>
      </x:c>
      <x:c r="F242" s="18">
        <x:v>44</x:v>
      </x:c>
    </x:row>
    <x:row r="243">
      <x:c r="A243" t="s">
        <x:v>28</x:v>
      </x:c>
      <x:c r="B243" t="s">
        <x:v>26</x:v>
      </x:c>
      <x:c r="C243" t="s">
        <x:v>45</x:v>
      </x:c>
      <x:c r="D243" s="14">
        <x:v>44746</x:v>
      </x:c>
      <x:c r="E243" s="16">
        <x:v>5425</x:v>
      </x:c>
      <x:c r="F243" s="18">
        <x:v>96</x:v>
      </x:c>
    </x:row>
    <x:row r="244">
      <x:c r="A244" t="s">
        <x:v>54</x:v>
      </x:c>
      <x:c r="B244" t="s">
        <x:v>7</x:v>
      </x:c>
      <x:c r="C244" t="s">
        <x:v>58</x:v>
      </x:c>
      <x:c r="D244" s="14">
        <x:v>44732</x:v>
      </x:c>
      <x:c r="E244" s="16">
        <x:v>1267</x:v>
      </x:c>
      <x:c r="F244" s="18">
        <x:v>216</x:v>
      </x:c>
    </x:row>
    <x:row r="245">
      <x:c r="A245" t="s">
        <x:v>19</x:v>
      </x:c>
      <x:c r="B245" t="s">
        <x:v>15</x:v>
      </x:c>
      <x:c r="C245" t="s">
        <x:v>47</x:v>
      </x:c>
      <x:c r="D245" s="14">
        <x:v>44586</x:v>
      </x:c>
      <x:c r="E245" s="16">
        <x:v>3752</x:v>
      </x:c>
      <x:c r="F245" s="18">
        <x:v>424</x:v>
      </x:c>
    </x:row>
    <x:row r="246">
      <x:c r="A246" t="s">
        <x:v>41</x:v>
      </x:c>
      <x:c r="B246" t="s">
        <x:v>21</x:v>
      </x:c>
      <x:c r="C246" t="s">
        <x:v>39</x:v>
      </x:c>
      <x:c r="D246" s="14">
        <x:v>44743</x:v>
      </x:c>
      <x:c r="E246" s="16">
        <x:v>7728</x:v>
      </x:c>
      <x:c r="F246" s="18">
        <x:v>37</x:v>
      </x:c>
    </x:row>
    <x:row r="247">
      <x:c r="A247" t="s">
        <x:v>12</x:v>
      </x:c>
      <x:c r="B247" t="s">
        <x:v>26</x:v>
      </x:c>
      <x:c r="C247" t="s">
        <x:v>22</x:v>
      </x:c>
      <x:c r="D247" s="14">
        <x:v>44664</x:v>
      </x:c>
      <x:c r="E247" s="16">
        <x:v>2296</x:v>
      </x:c>
      <x:c r="F247" s="18">
        <x:v>59</x:v>
      </x:c>
    </x:row>
    <x:row r="248">
      <x:c r="A248" t="s">
        <x:v>34</x:v>
      </x:c>
      <x:c r="B248" t="s">
        <x:v>7</x:v>
      </x:c>
      <x:c r="C248" t="s">
        <x:v>16</x:v>
      </x:c>
      <x:c r="D248" s="14">
        <x:v>44685</x:v>
      </x:c>
      <x:c r="E248" s="16">
        <x:v>4403</x:v>
      </x:c>
      <x:c r="F248" s="18">
        <x:v>76</x:v>
      </x:c>
    </x:row>
    <x:row r="249">
      <x:c r="A249" t="s">
        <x:v>34</x:v>
      </x:c>
      <x:c r="B249" t="s">
        <x:v>15</x:v>
      </x:c>
      <x:c r="C249" t="s">
        <x:v>56</x:v>
      </x:c>
      <x:c r="D249" s="14">
        <x:v>44777</x:v>
      </x:c>
      <x:c r="E249" s="16">
        <x:v>3192</x:v>
      </x:c>
      <x:c r="F249" s="18">
        <x:v>109</x:v>
      </x:c>
    </x:row>
    <x:row r="250">
      <x:c r="A250" t="s">
        <x:v>34</x:v>
      </x:c>
      <x:c r="B250" t="s">
        <x:v>10</x:v>
      </x:c>
      <x:c r="C250" t="s">
        <x:v>58</x:v>
      </x:c>
      <x:c r="D250" s="14">
        <x:v>44713</x:v>
      </x:c>
      <x:c r="E250" s="16">
        <x:v>448</x:v>
      </x:c>
      <x:c r="F250" s="18">
        <x:v>146</x:v>
      </x:c>
    </x:row>
    <x:row r="251">
      <x:c r="A251" t="s">
        <x:v>6</x:v>
      </x:c>
      <x:c r="B251" t="s">
        <x:v>7</x:v>
      </x:c>
      <x:c r="C251" t="s">
        <x:v>52</x:v>
      </x:c>
      <x:c r="D251" s="14">
        <x:v>44673</x:v>
      </x:c>
      <x:c r="E251" s="16">
        <x:v>4270</x:v>
      </x:c>
      <x:c r="F251" s="18">
        <x:v>185</x:v>
      </x:c>
    </x:row>
    <x:row r="252">
      <x:c r="A252" t="s">
        <x:v>41</x:v>
      </x:c>
      <x:c r="B252" t="s">
        <x:v>26</x:v>
      </x:c>
      <x:c r="C252" t="s">
        <x:v>22</x:v>
      </x:c>
      <x:c r="D252" s="14">
        <x:v>44776</x:v>
      </x:c>
      <x:c r="E252" s="16">
        <x:v>70</x:v>
      </x:c>
      <x:c r="F252" s="18">
        <x:v>27</x:v>
      </x:c>
    </x:row>
    <x:row r="253">
      <x:c r="A253" t="s">
        <x:v>55</x:v>
      </x:c>
      <x:c r="B253" t="s">
        <x:v>26</x:v>
      </x:c>
      <x:c r="C253" t="s">
        <x:v>27</x:v>
      </x:c>
      <x:c r="D253" s="14">
        <x:v>44722</x:v>
      </x:c>
      <x:c r="E253" s="16">
        <x:v>1743</x:v>
      </x:c>
      <x:c r="F253" s="18">
        <x:v>69</x:v>
      </x:c>
    </x:row>
    <x:row r="254">
      <x:c r="A254" t="s">
        <x:v>19</x:v>
      </x:c>
      <x:c r="B254" t="s">
        <x:v>7</x:v>
      </x:c>
      <x:c r="C254" t="s">
        <x:v>45</x:v>
      </x:c>
      <x:c r="D254" s="14">
        <x:v>44739</x:v>
      </x:c>
      <x:c r="E254" s="16">
        <x:v>6762</x:v>
      </x:c>
      <x:c r="F254" s="18">
        <x:v>46</x:v>
      </x:c>
    </x:row>
    <x:row r="255">
      <x:c r="A255" t="s">
        <x:v>33</x:v>
      </x:c>
      <x:c r="B255" t="s">
        <x:v>15</x:v>
      </x:c>
      <x:c r="C255" t="s">
        <x:v>16</x:v>
      </x:c>
      <x:c r="D255" s="14">
        <x:v>44564</x:v>
      </x:c>
      <x:c r="E255" s="16">
        <x:v>3745</x:v>
      </x:c>
      <x:c r="F255" s="18">
        <x:v>170</x:v>
      </x:c>
    </x:row>
    <x:row r="256">
      <x:c r="A256" t="s">
        <x:v>33</x:v>
      </x:c>
      <x:c r="B256" t="s">
        <x:v>10</x:v>
      </x:c>
      <x:c r="C256" t="s">
        <x:v>20</x:v>
      </x:c>
      <x:c r="D256" s="14">
        <x:v>44753</x:v>
      </x:c>
      <x:c r="E256" s="16">
        <x:v>2639</x:v>
      </x:c>
      <x:c r="F256" s="18">
        <x:v>179</x:v>
      </x:c>
    </x:row>
    <x:row r="257">
      <x:c r="A257" t="s">
        <x:v>55</x:v>
      </x:c>
      <x:c r="B257" t="s">
        <x:v>21</x:v>
      </x:c>
      <x:c r="C257" t="s">
        <x:v>37</x:v>
      </x:c>
      <x:c r="D257" s="14">
        <x:v>44790</x:v>
      </x:c>
      <x:c r="E257" s="16">
        <x:v>4389</x:v>
      </x:c>
      <x:c r="F257" s="18">
        <x:v>126</x:v>
      </x:c>
    </x:row>
    <x:row r="258">
      <x:c r="A258" t="s">
        <x:v>24</x:v>
      </x:c>
      <x:c r="B258" t="s">
        <x:v>26</x:v>
      </x:c>
      <x:c r="C258" t="s">
        <x:v>42</x:v>
      </x:c>
      <x:c r="D258" s="14">
        <x:v>44579</x:v>
      </x:c>
      <x:c r="E258" s="16">
        <x:v>2604</x:v>
      </x:c>
      <x:c r="F258" s="18">
        <x:v>65</x:v>
      </x:c>
    </x:row>
    <x:row r="259">
      <x:c r="A259" t="s">
        <x:v>55</x:v>
      </x:c>
      <x:c r="B259" t="s">
        <x:v>10</x:v>
      </x:c>
      <x:c r="C259" t="s">
        <x:v>35</x:v>
      </x:c>
      <x:c r="D259" s="14">
        <x:v>44628</x:v>
      </x:c>
      <x:c r="E259" s="16">
        <x:v>16569</x:v>
      </x:c>
      <x:c r="F259" s="18">
        <x:v>99</x:v>
      </x:c>
    </x:row>
    <x:row r="260">
      <x:c r="A260" t="s">
        <x:v>28</x:v>
      </x:c>
      <x:c r="B260" t="s">
        <x:v>15</x:v>
      </x:c>
      <x:c r="C260" t="s">
        <x:v>27</x:v>
      </x:c>
      <x:c r="D260" s="14">
        <x:v>44627</x:v>
      </x:c>
      <x:c r="E260" s="16">
        <x:v>14658</x:v>
      </x:c>
      <x:c r="F260" s="18">
        <x:v>275</x:v>
      </x:c>
    </x:row>
    <x:row r="261">
      <x:c r="A261" t="s">
        <x:v>40</x:v>
      </x:c>
      <x:c r="B261" t="s">
        <x:v>10</x:v>
      </x:c>
      <x:c r="C261" t="s">
        <x:v>58</x:v>
      </x:c>
      <x:c r="D261" s="14">
        <x:v>44690</x:v>
      </x:c>
      <x:c r="E261" s="16">
        <x:v>6454</x:v>
      </x:c>
      <x:c r="F261" s="18">
        <x:v>157</x:v>
      </x:c>
    </x:row>
    <x:row r="262">
      <x:c r="A262" t="s">
        <x:v>25</x:v>
      </x:c>
      <x:c r="B262" t="s">
        <x:v>21</x:v>
      </x:c>
      <x:c r="C262" t="s">
        <x:v>11</x:v>
      </x:c>
      <x:c r="D262" s="14">
        <x:v>44704</x:v>
      </x:c>
      <x:c r="E262" s="16">
        <x:v>2100</x:v>
      </x:c>
      <x:c r="F262" s="18">
        <x:v>157</x:v>
      </x:c>
    </x:row>
    <x:row r="263">
      <x:c r="A263" t="s">
        <x:v>53</x:v>
      </x:c>
      <x:c r="B263" t="s">
        <x:v>7</x:v>
      </x:c>
      <x:c r="C263" t="s">
        <x:v>57</x:v>
      </x:c>
      <x:c r="D263" s="14">
        <x:v>44666</x:v>
      </x:c>
      <x:c r="E263" s="16">
        <x:v>161</x:v>
      </x:c>
      <x:c r="F263" s="18">
        <x:v>145</x:v>
      </x:c>
    </x:row>
    <x:row r="264">
      <x:c r="A264" t="s">
        <x:v>12</x:v>
      </x:c>
      <x:c r="B264" t="s">
        <x:v>15</x:v>
      </x:c>
      <x:c r="C264" t="s">
        <x:v>32</x:v>
      </x:c>
      <x:c r="D264" s="14">
        <x:v>44769</x:v>
      </x:c>
      <x:c r="E264" s="16">
        <x:v>2807</x:v>
      </x:c>
      <x:c r="F264" s="18">
        <x:v>139</x:v>
      </x:c>
    </x:row>
    <x:row r="265">
      <x:c r="A265" t="s">
        <x:v>33</x:v>
      </x:c>
      <x:c r="B265" t="s">
        <x:v>29</x:v>
      </x:c>
      <x:c r="C265" t="s">
        <x:v>52</x:v>
      </x:c>
      <x:c r="D265" s="14">
        <x:v>44795</x:v>
      </x:c>
      <x:c r="E265" s="16">
        <x:v>2639</x:v>
      </x:c>
      <x:c r="F265" s="18">
        <x:v>406</x:v>
      </x:c>
    </x:row>
    <x:row r="266">
      <x:c r="A266" t="s">
        <x:v>55</x:v>
      </x:c>
      <x:c r="B266" t="s">
        <x:v>26</x:v>
      </x:c>
      <x:c r="C266" t="s">
        <x:v>58</x:v>
      </x:c>
      <x:c r="D266" s="14">
        <x:v>44692</x:v>
      </x:c>
      <x:c r="E266" s="16">
        <x:v>4571</x:v>
      </x:c>
      <x:c r="F266" s="18">
        <x:v>122</x:v>
      </x:c>
    </x:row>
    <x:row r="267">
      <x:c r="A267" t="s">
        <x:v>53</x:v>
      </x:c>
      <x:c r="B267" t="s">
        <x:v>10</x:v>
      </x:c>
      <x:c r="C267" t="s">
        <x:v>35</x:v>
      </x:c>
      <x:c r="D267" s="14">
        <x:v>44587</x:v>
      </x:c>
      <x:c r="E267" s="16">
        <x:v>4781</x:v>
      </x:c>
      <x:c r="F267" s="18">
        <x:v>38</x:v>
      </x:c>
    </x:row>
    <x:row r="268">
      <x:c r="A268" t="s">
        <x:v>25</x:v>
      </x:c>
      <x:c r="B268" t="s">
        <x:v>26</x:v>
      </x:c>
      <x:c r="C268" t="s">
        <x:v>22</x:v>
      </x:c>
      <x:c r="D268" s="14">
        <x:v>44665</x:v>
      </x:c>
      <x:c r="E268" s="16">
        <x:v>13034</x:v>
      </x:c>
      <x:c r="F268" s="18">
        <x:v>117</x:v>
      </x:c>
    </x:row>
    <x:row r="269">
      <x:c r="A269" t="s">
        <x:v>43</x:v>
      </x:c>
      <x:c r="B269" t="s">
        <x:v>21</x:v>
      </x:c>
      <x:c r="C269" t="s">
        <x:v>8</x:v>
      </x:c>
      <x:c r="D269" s="14">
        <x:v>44656</x:v>
      </x:c>
      <x:c r="E269" s="16">
        <x:v>6454</x:v>
      </x:c>
      <x:c r="F269" s="18">
        <x:v>417</x:v>
      </x:c>
    </x:row>
    <x:row r="270">
      <x:c r="A270" t="s">
        <x:v>33</x:v>
      </x:c>
      <x:c r="B270" t="s">
        <x:v>21</x:v>
      </x:c>
      <x:c r="C270" t="s">
        <x:v>16</x:v>
      </x:c>
      <x:c r="D270" s="14">
        <x:v>44726</x:v>
      </x:c>
      <x:c r="E270" s="16">
        <x:v>8484</x:v>
      </x:c>
      <x:c r="F270" s="18">
        <x:v>57</x:v>
      </x:c>
    </x:row>
    <x:row r="271">
      <x:c r="A271" t="s">
        <x:v>23</x:v>
      </x:c>
      <x:c r="B271" t="s">
        <x:v>29</x:v>
      </x:c>
      <x:c r="C271" t="s">
        <x:v>47</x:v>
      </x:c>
      <x:c r="D271" s="14">
        <x:v>44664</x:v>
      </x:c>
      <x:c r="E271" s="16">
        <x:v>4781</x:v>
      </x:c>
      <x:c r="F271" s="18">
        <x:v>125</x:v>
      </x:c>
    </x:row>
    <x:row r="272">
      <x:c r="A272" t="s">
        <x:v>34</x:v>
      </x:c>
      <x:c r="B272" t="s">
        <x:v>15</x:v>
      </x:c>
      <x:c r="C272" t="s">
        <x:v>44</x:v>
      </x:c>
      <x:c r="D272" s="14">
        <x:v>44739</x:v>
      </x:c>
      <x:c r="E272" s="16">
        <x:v>2240</x:v>
      </x:c>
      <x:c r="F272" s="18">
        <x:v>166</x:v>
      </x:c>
    </x:row>
    <x:row r="273">
      <x:c r="A273" t="s">
        <x:v>54</x:v>
      </x:c>
      <x:c r="B273" t="s">
        <x:v>15</x:v>
      </x:c>
      <x:c r="C273" t="s">
        <x:v>30</x:v>
      </x:c>
      <x:c r="D273" s="14">
        <x:v>44587</x:v>
      </x:c>
      <x:c r="E273" s="16">
        <x:v>6979</x:v>
      </x:c>
      <x:c r="F273" s="18">
        <x:v>3</x:v>
      </x:c>
    </x:row>
    <x:row r="274">
      <x:c r="A274" t="s">
        <x:v>25</x:v>
      </x:c>
      <x:c r="B274" t="s">
        <x:v>7</x:v>
      </x:c>
      <x:c r="C274" t="s">
        <x:v>44</x:v>
      </x:c>
      <x:c r="D274" s="14">
        <x:v>44747</x:v>
      </x:c>
      <x:c r="E274" s="16">
        <x:v>1652</x:v>
      </x:c>
      <x:c r="F274" s="18">
        <x:v>72</x:v>
      </x:c>
    </x:row>
    <x:row r="275">
      <x:c r="A275" t="s">
        <x:v>34</x:v>
      </x:c>
      <x:c r="B275" t="s">
        <x:v>29</x:v>
      </x:c>
      <x:c r="C275" t="s">
        <x:v>56</x:v>
      </x:c>
      <x:c r="D275" s="14">
        <x:v>44572</x:v>
      </x:c>
      <x:c r="E275" s="16">
        <x:v>13447</x:v>
      </x:c>
      <x:c r="F275" s="18">
        <x:v>95</x:v>
      </x:c>
    </x:row>
    <x:row r="276">
      <x:c r="A276" t="s">
        <x:v>49</x:v>
      </x:c>
      <x:c r="B276" t="s">
        <x:v>26</x:v>
      </x:c>
      <x:c r="C276" t="s">
        <x:v>44</x:v>
      </x:c>
      <x:c r="D276" s="14">
        <x:v>44627</x:v>
      </x:c>
      <x:c r="E276" s="16">
        <x:v>9422</x:v>
      </x:c>
      <x:c r="F276" s="18">
        <x:v>22</x:v>
      </x:c>
    </x:row>
    <x:row r="277">
      <x:c r="A277" t="s">
        <x:v>41</x:v>
      </x:c>
      <x:c r="B277" t="s">
        <x:v>29</x:v>
      </x:c>
      <x:c r="C277" t="s">
        <x:v>22</x:v>
      </x:c>
      <x:c r="D277" s="14">
        <x:v>44624</x:v>
      </x:c>
      <x:c r="E277" s="16">
        <x:v>8687</x:v>
      </x:c>
      <x:c r="F277" s="18">
        <x:v>100</x:v>
      </x:c>
    </x:row>
    <x:row r="278">
      <x:c r="A278" t="s">
        <x:v>31</x:v>
      </x:c>
      <x:c r="B278" t="s">
        <x:v>29</x:v>
      </x:c>
      <x:c r="C278" t="s">
        <x:v>35</x:v>
      </x:c>
      <x:c r="D278" s="14">
        <x:v>44757</x:v>
      </x:c>
      <x:c r="E278" s="16">
        <x:v>2415</x:v>
      </x:c>
      <x:c r="F278" s="18">
        <x:v>312</x:v>
      </x:c>
    </x:row>
    <x:row r="279">
      <x:c r="A279" t="s">
        <x:v>41</x:v>
      </x:c>
      <x:c r="B279" t="s">
        <x:v>7</x:v>
      </x:c>
      <x:c r="C279" t="s">
        <x:v>13</x:v>
      </x:c>
      <x:c r="D279" s="14">
        <x:v>44692</x:v>
      </x:c>
      <x:c r="E279" s="16">
        <x:v>6272</x:v>
      </x:c>
      <x:c r="F279" s="18">
        <x:v>86</x:v>
      </x:c>
    </x:row>
    <x:row r="280">
      <x:c r="A280" t="s">
        <x:v>31</x:v>
      </x:c>
      <x:c r="B280" t="s">
        <x:v>26</x:v>
      </x:c>
      <x:c r="C280" t="s">
        <x:v>37</x:v>
      </x:c>
      <x:c r="D280" s="14">
        <x:v>44588</x:v>
      </x:c>
      <x:c r="E280" s="16">
        <x:v>4389</x:v>
      </x:c>
      <x:c r="F280" s="18">
        <x:v>7</x:v>
      </x:c>
    </x:row>
    <x:row r="281">
      <x:c r="A281" t="s">
        <x:v>31</x:v>
      </x:c>
      <x:c r="B281" t="s">
        <x:v>10</x:v>
      </x:c>
      <x:c r="C281" t="s">
        <x:v>27</x:v>
      </x:c>
      <x:c r="D281" s="14">
        <x:v>44739</x:v>
      </x:c>
      <x:c r="E281" s="16">
        <x:v>3122</x:v>
      </x:c>
      <x:c r="F281" s="18">
        <x:v>149</x:v>
      </x:c>
    </x:row>
    <x:row r="282">
      <x:c r="A282" t="s">
        <x:v>55</x:v>
      </x:c>
      <x:c r="B282" t="s">
        <x:v>10</x:v>
      </x:c>
      <x:c r="C282" t="s">
        <x:v>16</x:v>
      </x:c>
      <x:c r="D282" s="14">
        <x:v>44776</x:v>
      </x:c>
      <x:c r="E282" s="16">
        <x:v>8043</x:v>
      </x:c>
      <x:c r="F282" s="18">
        <x:v>18</x:v>
      </x:c>
    </x:row>
    <x:row r="283">
      <x:c r="A283" t="s">
        <x:v>46</x:v>
      </x:c>
      <x:c r="B283" t="s">
        <x:v>21</x:v>
      </x:c>
      <x:c r="C283" t="s">
        <x:v>8</x:v>
      </x:c>
      <x:c r="D283" s="14">
        <x:v>44792</x:v>
      </x:c>
      <x:c r="E283" s="16">
        <x:v>11662</x:v>
      </x:c>
      <x:c r="F283" s="18">
        <x:v>242</x:v>
      </x:c>
    </x:row>
    <x:row r="284">
      <x:c r="A284" t="s">
        <x:v>46</x:v>
      </x:c>
      <x:c r="B284" t="s">
        <x:v>15</x:v>
      </x:c>
      <x:c r="C284" t="s">
        <x:v>42</x:v>
      </x:c>
      <x:c r="D284" s="14">
        <x:v>44727</x:v>
      </x:c>
      <x:c r="E284" s="16">
        <x:v>392</x:v>
      </x:c>
      <x:c r="F284" s="18">
        <x:v>102</x:v>
      </x:c>
    </x:row>
    <x:row r="285">
      <x:c r="A285" t="s">
        <x:v>43</x:v>
      </x:c>
      <x:c r="B285" t="s">
        <x:v>7</x:v>
      </x:c>
      <x:c r="C285" t="s">
        <x:v>13</x:v>
      </x:c>
      <x:c r="D285" s="14">
        <x:v>44599</x:v>
      </x:c>
      <x:c r="E285" s="16">
        <x:v>8925</x:v>
      </x:c>
      <x:c r="F285" s="18">
        <x:v>158</x:v>
      </x:c>
    </x:row>
    <x:row r="286">
      <x:c r="A286" t="s">
        <x:v>31</x:v>
      </x:c>
      <x:c r="B286" t="s">
        <x:v>15</x:v>
      </x:c>
      <x:c r="C286" t="s">
        <x:v>47</x:v>
      </x:c>
      <x:c r="D286" s="14">
        <x:v>44750</x:v>
      </x:c>
      <x:c r="E286" s="16">
        <x:v>7294</x:v>
      </x:c>
      <x:c r="F286" s="18">
        <x:v>128</x:v>
      </x:c>
    </x:row>
    <x:row r="287">
      <x:c r="A287" t="s">
        <x:v>43</x:v>
      </x:c>
      <x:c r="B287" t="s">
        <x:v>10</x:v>
      </x:c>
      <x:c r="C287" t="s">
        <x:v>37</x:v>
      </x:c>
      <x:c r="D287" s="14">
        <x:v>44672</x:v>
      </x:c>
      <x:c r="E287" s="16">
        <x:v>1526</x:v>
      </x:c>
      <x:c r="F287" s="18">
        <x:v>96</x:v>
      </x:c>
    </x:row>
    <x:row r="288">
      <x:c r="A288" t="s">
        <x:v>55</x:v>
      </x:c>
      <x:c r="B288" t="s">
        <x:v>7</x:v>
      </x:c>
      <x:c r="C288" t="s">
        <x:v>8</x:v>
      </x:c>
      <x:c r="D288" s="14">
        <x:v>44659</x:v>
      </x:c>
      <x:c r="E288" s="16">
        <x:v>2688</x:v>
      </x:c>
      <x:c r="F288" s="18">
        <x:v>209</x:v>
      </x:c>
    </x:row>
    <x:row r="289">
      <x:c r="A289" t="s">
        <x:v>40</x:v>
      </x:c>
      <x:c r="B289" t="s">
        <x:v>15</x:v>
      </x:c>
      <x:c r="C289" t="s">
        <x:v>22</x:v>
      </x:c>
      <x:c r="D289" s="14">
        <x:v>44792</x:v>
      </x:c>
      <x:c r="E289" s="16">
        <x:v>14889</x:v>
      </x:c>
      <x:c r="F289" s="18">
        <x:v>52</x:v>
      </x:c>
    </x:row>
    <x:row r="290">
      <x:c r="A290" t="s">
        <x:v>14</x:v>
      </x:c>
      <x:c r="B290" t="s">
        <x:v>10</x:v>
      </x:c>
      <x:c r="C290" t="s">
        <x:v>42</x:v>
      </x:c>
      <x:c r="D290" s="14">
        <x:v>44685</x:v>
      </x:c>
      <x:c r="E290" s="16">
        <x:v>2912</x:v>
      </x:c>
      <x:c r="F290" s="18">
        <x:v>55</x:v>
      </x:c>
    </x:row>
    <x:row r="291">
      <x:c r="A291" t="s">
        <x:v>28</x:v>
      </x:c>
      <x:c r="B291" t="s">
        <x:v>26</x:v>
      </x:c>
      <x:c r="C291" t="s">
        <x:v>11</x:v>
      </x:c>
      <x:c r="D291" s="14">
        <x:v>44692</x:v>
      </x:c>
      <x:c r="E291" s="16">
        <x:v>2632</x:v>
      </x:c>
      <x:c r="F291" s="18">
        <x:v>108</x:v>
      </x:c>
    </x:row>
    <x:row r="292">
      <x:c r="A292" t="s">
        <x:v>28</x:v>
      </x:c>
      <x:c r="B292" t="s">
        <x:v>26</x:v>
      </x:c>
      <x:c r="C292" t="s">
        <x:v>30</x:v>
      </x:c>
      <x:c r="D292" s="14">
        <x:v>44642</x:v>
      </x:c>
      <x:c r="E292" s="16">
        <x:v>6328</x:v>
      </x:c>
      <x:c r="F292" s="18">
        <x:v>51</x:v>
      </x:c>
    </x:row>
    <x:row r="293">
      <x:c r="A293" t="s">
        <x:v>43</x:v>
      </x:c>
      <x:c r="B293" t="s">
        <x:v>29</x:v>
      </x:c>
      <x:c r="C293" t="s">
        <x:v>39</x:v>
      </x:c>
      <x:c r="D293" s="14">
        <x:v>44783</x:v>
      </x:c>
      <x:c r="E293" s="16">
        <x:v>2527</x:v>
      </x:c>
      <x:c r="F293" s="18">
        <x:v>216</x:v>
      </x:c>
    </x:row>
    <x:row r="294">
      <x:c r="A294" t="s">
        <x:v>43</x:v>
      </x:c>
      <x:c r="B294" t="s">
        <x:v>26</x:v>
      </x:c>
      <x:c r="C294" t="s">
        <x:v>42</x:v>
      </x:c>
      <x:c r="D294" s="14">
        <x:v>44685</x:v>
      </x:c>
      <x:c r="E294" s="16">
        <x:v>1414</x:v>
      </x:c>
      <x:c r="F294" s="18">
        <x:v>318</x:v>
      </x:c>
    </x:row>
    <x:row r="295">
      <x:c r="A295" t="s">
        <x:v>49</x:v>
      </x:c>
      <x:c r="B295" t="s">
        <x:v>26</x:v>
      </x:c>
      <x:c r="C295" t="s">
        <x:v>18</x:v>
      </x:c>
      <x:c r="D295" s="14">
        <x:v>44791</x:v>
      </x:c>
      <x:c r="E295" s="16">
        <x:v>7714</x:v>
      </x:c>
      <x:c r="F295" s="18">
        <x:v>238</x:v>
      </x:c>
    </x:row>
    <x:row r="296">
      <x:c r="A296" t="s">
        <x:v>54</x:v>
      </x:c>
      <x:c r="B296" t="s">
        <x:v>29</x:v>
      </x:c>
      <x:c r="C296" t="s">
        <x:v>51</x:v>
      </x:c>
      <x:c r="D296" s="14">
        <x:v>44776</x:v>
      </x:c>
      <x:c r="E296" s="16">
        <x:v>4347</x:v>
      </x:c>
      <x:c r="F296" s="18">
        <x:v>238</x:v>
      </x:c>
    </x:row>
    <x:row r="297">
      <x:c r="A297" t="s">
        <x:v>33</x:v>
      </x:c>
      <x:c r="B297" t="s">
        <x:v>21</x:v>
      </x:c>
      <x:c r="C297" t="s">
        <x:v>37</x:v>
      </x:c>
      <x:c r="D297" s="14">
        <x:v>44575</x:v>
      </x:c>
      <x:c r="E297" s="16">
        <x:v>7490</x:v>
      </x:c>
      <x:c r="F297" s="18">
        <x:v>315</x:v>
      </x:c>
    </x:row>
    <x:row r="298">
      <x:c r="A298" t="s">
        <x:v>53</x:v>
      </x:c>
      <x:c r="B298" t="s">
        <x:v>15</x:v>
      </x:c>
      <x:c r="C298" t="s">
        <x:v>52</x:v>
      </x:c>
      <x:c r="D298" s="14">
        <x:v>44659</x:v>
      </x:c>
      <x:c r="E298" s="16">
        <x:v>2058</x:v>
      </x:c>
      <x:c r="F298" s="18">
        <x:v>72</x:v>
      </x:c>
    </x:row>
    <x:row r="299">
      <x:c r="A299" t="s">
        <x:v>49</x:v>
      </x:c>
      <x:c r="B299" t="s">
        <x:v>7</x:v>
      </x:c>
      <x:c r="C299" t="s">
        <x:v>27</x:v>
      </x:c>
      <x:c r="D299" s="14">
        <x:v>44774</x:v>
      </x:c>
      <x:c r="E299" s="16">
        <x:v>3640</x:v>
      </x:c>
      <x:c r="F299" s="18">
        <x:v>3</x:v>
      </x:c>
    </x:row>
    <x:row r="300">
      <x:c r="A300" t="s">
        <x:v>43</x:v>
      </x:c>
      <x:c r="B300" t="s">
        <x:v>29</x:v>
      </x:c>
      <x:c r="C300" t="s">
        <x:v>30</x:v>
      </x:c>
      <x:c r="D300" s="14">
        <x:v>44635</x:v>
      </x:c>
      <x:c r="E300" s="16">
        <x:v>455</x:v>
      </x:c>
      <x:c r="F300" s="18">
        <x:v>45</x:v>
      </x:c>
    </x:row>
    <x:row r="301">
      <x:c r="A301" t="s">
        <x:v>31</x:v>
      </x:c>
      <x:c r="B301" t="s">
        <x:v>10</x:v>
      </x:c>
      <x:c r="C301" t="s">
        <x:v>8</x:v>
      </x:c>
      <x:c r="D301" s="14">
        <x:v>44757</x:v>
      </x:c>
      <x:c r="E301" s="16">
        <x:v>10990</x:v>
      </x:c>
      <x:c r="F301" s="18">
        <x:v>184</x:v>
      </x:c>
    </x:row>
    <x:row r="302">
      <x:c r="A302" t="s">
        <x:v>25</x:v>
      </x:c>
      <x:c r="B302" t="s">
        <x:v>21</x:v>
      </x:c>
      <x:c r="C302" t="s">
        <x:v>47</x:v>
      </x:c>
      <x:c r="D302" s="14">
        <x:v>44574</x:v>
      </x:c>
      <x:c r="E302" s="16">
        <x:v>5558</x:v>
      </x:c>
      <x:c r="F302" s="18">
        <x:v>127</x:v>
      </x:c>
    </x:row>
    <x:row r="303">
      <x:c r="A303" t="s">
        <x:v>28</x:v>
      </x:c>
      <x:c r="B303" t="s">
        <x:v>15</x:v>
      </x:c>
      <x:c r="C303" t="s">
        <x:v>11</x:v>
      </x:c>
      <x:c r="D303" s="14">
        <x:v>44799</x:v>
      </x:c>
      <x:c r="E303" s="16">
        <x:v>2541</x:v>
      </x:c>
      <x:c r="F303" s="18">
        <x:v>53</x:v>
      </x:c>
    </x:row>
    <x:row r="304">
      <x:c r="A304" t="s">
        <x:v>55</x:v>
      </x:c>
      <x:c r="B304" t="s">
        <x:v>29</x:v>
      </x:c>
      <x:c r="C304" t="s">
        <x:v>30</x:v>
      </x:c>
      <x:c r="D304" s="14">
        <x:v>44571</x:v>
      </x:c>
      <x:c r="E304" s="16">
        <x:v>1876</x:v>
      </x:c>
      <x:c r="F304" s="18">
        <x:v>172</x:v>
      </x:c>
    </x:row>
    <x:row r="305">
      <x:c r="A305" t="s">
        <x:v>12</x:v>
      </x:c>
      <x:c r="B305" t="s">
        <x:v>15</x:v>
      </x:c>
      <x:c r="C305" t="s">
        <x:v>44</x:v>
      </x:c>
      <x:c r="D305" s="14">
        <x:v>44692</x:v>
      </x:c>
      <x:c r="E305" s="16">
        <x:v>5523</x:v>
      </x:c>
      <x:c r="F305" s="18">
        <x:v>87</x:v>
      </x:c>
    </x:row>
    <x:row r="306">
      <x:c r="A306" t="s">
        <x:v>34</x:v>
      </x:c>
      <x:c r="B306" t="s">
        <x:v>21</x:v>
      </x:c>
      <x:c r="C306" t="s">
        <x:v>11</x:v>
      </x:c>
      <x:c r="D306" s="14">
        <x:v>44803</x:v>
      </x:c>
      <x:c r="E306" s="16">
        <x:v>11200</x:v>
      </x:c>
      <x:c r="F306" s="18">
        <x:v>22</x:v>
      </x:c>
    </x:row>
    <x:row r="307">
      <x:c r="A307" t="s">
        <x:v>41</x:v>
      </x:c>
      <x:c r="B307" t="s">
        <x:v>26</x:v>
      </x:c>
      <x:c r="C307" t="s">
        <x:v>57</x:v>
      </x:c>
      <x:c r="D307" s="14">
        <x:v>44763</x:v>
      </x:c>
      <x:c r="E307" s="16">
        <x:v>5593</x:v>
      </x:c>
      <x:c r="F307" s="18">
        <x:v>122</x:v>
      </x:c>
    </x:row>
    <x:row r="308">
      <x:c r="A308" t="s">
        <x:v>28</x:v>
      </x:c>
      <x:c r="B308" t="s">
        <x:v>15</x:v>
      </x:c>
      <x:c r="C308" t="s">
        <x:v>47</x:v>
      </x:c>
      <x:c r="D308" s="14">
        <x:v>44774</x:v>
      </x:c>
      <x:c r="E308" s="16">
        <x:v>7882</x:v>
      </x:c>
      <x:c r="F308" s="18">
        <x:v>125</x:v>
      </x:c>
    </x:row>
    <x:row r="309">
      <x:c r="A309" t="s">
        <x:v>23</x:v>
      </x:c>
      <x:c r="B309" t="s">
        <x:v>29</x:v>
      </x:c>
      <x:c r="C309" t="s">
        <x:v>11</x:v>
      </x:c>
      <x:c r="D309" s="14">
        <x:v>44609</x:v>
      </x:c>
      <x:c r="E309" s="16">
        <x:v>10241</x:v>
      </x:c>
      <x:c r="F309" s="18">
        <x:v>259</x:v>
      </x:c>
    </x:row>
    <x:row r="310">
      <x:c r="A310" t="s">
        <x:v>23</x:v>
      </x:c>
      <x:c r="B310" t="s">
        <x:v>15</x:v>
      </x:c>
      <x:c r="C310" t="s">
        <x:v>32</x:v>
      </x:c>
      <x:c r="D310" s="14">
        <x:v>44769</x:v>
      </x:c>
      <x:c r="E310" s="16">
        <x:v>6832</x:v>
      </x:c>
      <x:c r="F310" s="18">
        <x:v>156</x:v>
      </x:c>
    </x:row>
    <x:row r="311">
      <x:c r="A311" t="s">
        <x:v>54</x:v>
      </x:c>
      <x:c r="B311" t="s">
        <x:v>26</x:v>
      </x:c>
      <x:c r="C311" t="s">
        <x:v>27</x:v>
      </x:c>
      <x:c r="D311" s="14">
        <x:v>44615</x:v>
      </x:c>
      <x:c r="E311" s="16">
        <x:v>1379</x:v>
      </x:c>
      <x:c r="F311" s="18">
        <x:v>107</x:v>
      </x:c>
    </x:row>
    <x:row r="312">
      <x:c r="A312" t="s">
        <x:v>24</x:v>
      </x:c>
      <x:c r="B312" t="s">
        <x:v>15</x:v>
      </x:c>
      <x:c r="C312" t="s">
        <x:v>22</x:v>
      </x:c>
      <x:c r="D312" s="14">
        <x:v>44642</x:v>
      </x:c>
      <x:c r="E312" s="16">
        <x:v>3010</x:v>
      </x:c>
      <x:c r="F312" s="18">
        <x:v>40</x:v>
      </x:c>
    </x:row>
    <x:row r="313">
      <x:c r="A313" t="s">
        <x:v>43</x:v>
      </x:c>
      <x:c r="B313" t="s">
        <x:v>10</x:v>
      </x:c>
      <x:c r="C313" t="s">
        <x:v>18</x:v>
      </x:c>
      <x:c r="D313" s="14">
        <x:v>44735</x:v>
      </x:c>
      <x:c r="E313" s="16">
        <x:v>6888</x:v>
      </x:c>
      <x:c r="F313" s="18">
        <x:v>311</x:v>
      </x:c>
    </x:row>
    <x:row r="314">
      <x:c r="A314" t="s">
        <x:v>38</x:v>
      </x:c>
      <x:c r="B314" t="s">
        <x:v>7</x:v>
      </x:c>
      <x:c r="C314" t="s">
        <x:v>44</x:v>
      </x:c>
      <x:c r="D314" s="14">
        <x:v>44593</x:v>
      </x:c>
      <x:c r="E314" s="16">
        <x:v>1540</x:v>
      </x:c>
      <x:c r="F314" s="18">
        <x:v>73</x:v>
      </x:c>
    </x:row>
    <x:row r="315">
      <x:c r="A315" t="s">
        <x:v>49</x:v>
      </x:c>
      <x:c r="B315" t="s">
        <x:v>15</x:v>
      </x:c>
      <x:c r="C315" t="s">
        <x:v>20</x:v>
      </x:c>
      <x:c r="D315" s="14">
        <x:v>44622</x:v>
      </x:c>
      <x:c r="E315" s="16">
        <x:v>6916</x:v>
      </x:c>
      <x:c r="F315" s="18">
        <x:v>288</x:v>
      </x:c>
    </x:row>
    <x:row r="316">
      <x:c r="A316" t="s">
        <x:v>12</x:v>
      </x:c>
      <x:c r="B316" t="s">
        <x:v>7</x:v>
      </x:c>
      <x:c r="C316" t="s">
        <x:v>42</x:v>
      </x:c>
      <x:c r="D316" s="14">
        <x:v>44657</x:v>
      </x:c>
      <x:c r="E316" s="16">
        <x:v>1232</x:v>
      </x:c>
      <x:c r="F316" s="18">
        <x:v>86</x:v>
      </x:c>
    </x:row>
    <x:row r="317">
      <x:c r="A317" t="s">
        <x:v>19</x:v>
      </x:c>
      <x:c r="B317" t="s">
        <x:v>15</x:v>
      </x:c>
      <x:c r="C317" t="s">
        <x:v>51</x:v>
      </x:c>
      <x:c r="D317" s="14">
        <x:v>44637</x:v>
      </x:c>
      <x:c r="E317" s="16">
        <x:v>602</x:v>
      </x:c>
      <x:c r="F317" s="18">
        <x:v>72</x:v>
      </x:c>
    </x:row>
    <x:row r="318">
      <x:c r="A318" t="s">
        <x:v>38</x:v>
      </x:c>
      <x:c r="B318" t="s">
        <x:v>7</x:v>
      </x:c>
      <x:c r="C318" t="s">
        <x:v>42</x:v>
      </x:c>
      <x:c r="D318" s="14">
        <x:v>44736</x:v>
      </x:c>
      <x:c r="E318" s="16">
        <x:v>10927</x:v>
      </x:c>
      <x:c r="F318" s="18">
        <x:v>136</x:v>
      </x:c>
    </x:row>
    <x:row r="319">
      <x:c r="A319" t="s">
        <x:v>25</x:v>
      </x:c>
      <x:c r="B319" t="s">
        <x:v>29</x:v>
      </x:c>
      <x:c r="C319" t="s">
        <x:v>22</x:v>
      </x:c>
      <x:c r="D319" s="14">
        <x:v>44761</x:v>
      </x:c>
      <x:c r="E319" s="16">
        <x:v>10185</x:v>
      </x:c>
      <x:c r="F319" s="18">
        <x:v>303</x:v>
      </x:c>
    </x:row>
    <x:row r="320">
      <x:c r="A320" t="s">
        <x:v>38</x:v>
      </x:c>
      <x:c r="B320" t="s">
        <x:v>26</x:v>
      </x:c>
      <x:c r="C320" t="s">
        <x:v>39</x:v>
      </x:c>
      <x:c r="D320" s="14">
        <x:v>44753</x:v>
      </x:c>
      <x:c r="E320" s="16">
        <x:v>1603</x:v>
      </x:c>
      <x:c r="F320" s="18">
        <x:v>264</x:v>
      </x:c>
    </x:row>
    <x:row r="321">
      <x:c r="A321" t="s">
        <x:v>23</x:v>
      </x:c>
      <x:c r="B321" t="s">
        <x:v>10</x:v>
      </x:c>
      <x:c r="C321" t="s">
        <x:v>47</x:v>
      </x:c>
      <x:c r="D321" s="14">
        <x:v>44574</x:v>
      </x:c>
      <x:c r="E321" s="16">
        <x:v>2170</x:v>
      </x:c>
      <x:c r="F321" s="18">
        <x:v>218</x:v>
      </x:c>
    </x:row>
    <x:row r="322">
      <x:c r="A322" t="s">
        <x:v>17</x:v>
      </x:c>
      <x:c r="B322" t="s">
        <x:v>21</x:v>
      </x:c>
      <x:c r="C322" t="s">
        <x:v>16</x:v>
      </x:c>
      <x:c r="D322" s="14">
        <x:v>44749</x:v>
      </x:c>
      <x:c r="E322" s="16">
        <x:v>8673</x:v>
      </x:c>
      <x:c r="F322" s="18">
        <x:v>60</x:v>
      </x:c>
    </x:row>
    <x:row r="323">
      <x:c r="A323" t="s">
        <x:v>14</x:v>
      </x:c>
      <x:c r="B323" t="s">
        <x:v>10</x:v>
      </x:c>
      <x:c r="C323" t="s">
        <x:v>11</x:v>
      </x:c>
      <x:c r="D323" s="14">
        <x:v>44706</x:v>
      </x:c>
      <x:c r="E323" s="16">
        <x:v>4760</x:v>
      </x:c>
      <x:c r="F323" s="18">
        <x:v>418</x:v>
      </x:c>
    </x:row>
    <x:row r="324">
      <x:c r="A324" t="s">
        <x:v>33</x:v>
      </x:c>
      <x:c r="B324" t="s">
        <x:v>10</x:v>
      </x:c>
      <x:c r="C324" t="s">
        <x:v>42</x:v>
      </x:c>
      <x:c r="D324" s="14">
        <x:v>44664</x:v>
      </x:c>
      <x:c r="E324" s="16">
        <x:v>4753</x:v>
      </x:c>
      <x:c r="F324" s="18">
        <x:v>151</x:v>
      </x:c>
    </x:row>
    <x:row r="325">
      <x:c r="A325" t="s">
        <x:v>48</x:v>
      </x:c>
      <x:c r="B325" t="s">
        <x:v>21</x:v>
      </x:c>
      <x:c r="C325" t="s">
        <x:v>22</x:v>
      </x:c>
      <x:c r="D325" s="14">
        <x:v>44622</x:v>
      </x:c>
      <x:c r="E325" s="16">
        <x:v>3374</x:v>
      </x:c>
      <x:c r="F325" s="18">
        <x:v>202</x:v>
      </x:c>
    </x:row>
    <x:row r="326">
      <x:c r="A326" t="s">
        <x:v>19</x:v>
      </x:c>
      <x:c r="B326" t="s">
        <x:v>29</x:v>
      </x:c>
      <x:c r="C326" t="s">
        <x:v>51</x:v>
      </x:c>
      <x:c r="D326" s="14">
        <x:v>44735</x:v>
      </x:c>
      <x:c r="E326" s="16">
        <x:v>2058</x:v>
      </x:c>
      <x:c r="F326" s="18">
        <x:v>126</x:v>
      </x:c>
    </x:row>
    <x:row r="327">
      <x:c r="A327" t="s">
        <x:v>49</x:v>
      </x:c>
      <x:c r="B327" t="s">
        <x:v>26</x:v>
      </x:c>
      <x:c r="C327" t="s">
        <x:v>32</x:v>
      </x:c>
      <x:c r="D327" s="14">
        <x:v>44768</x:v>
      </x:c>
      <x:c r="E327" s="16">
        <x:v>6454</x:v>
      </x:c>
      <x:c r="F327" s="18">
        <x:v>160</x:v>
      </x:c>
    </x:row>
    <x:row r="328">
      <x:c r="A328" t="s">
        <x:v>9</x:v>
      </x:c>
      <x:c r="B328" t="s">
        <x:v>29</x:v>
      </x:c>
      <x:c r="C328" t="s">
        <x:v>44</x:v>
      </x:c>
      <x:c r="D328" s="14">
        <x:v>44642</x:v>
      </x:c>
      <x:c r="E328" s="16">
        <x:v>420</x:v>
      </x:c>
      <x:c r="F328" s="18">
        <x:v>3</x:v>
      </x:c>
    </x:row>
    <x:row r="329">
      <x:c r="A329" t="s">
        <x:v>24</x:v>
      </x:c>
      <x:c r="B329" t="s">
        <x:v>26</x:v>
      </x:c>
      <x:c r="C329" t="s">
        <x:v>56</x:v>
      </x:c>
      <x:c r="D329" s="14">
        <x:v>44721</x:v>
      </x:c>
      <x:c r="E329" s="16">
        <x:v>2863</x:v>
      </x:c>
      <x:c r="F329" s="18">
        <x:v>58</x:v>
      </x:c>
    </x:row>
    <x:row r="330">
      <x:c r="A330" t="s">
        <x:v>9</x:v>
      </x:c>
      <x:c r="B330" t="s">
        <x:v>15</x:v>
      </x:c>
      <x:c r="C330" t="s">
        <x:v>57</x:v>
      </x:c>
      <x:c r="D330" s="14">
        <x:v>44698</x:v>
      </x:c>
      <x:c r="E330" s="16">
        <x:v>5936</x:v>
      </x:c>
      <x:c r="F330" s="18">
        <x:v>59</x:v>
      </x:c>
    </x:row>
    <x:row r="331">
      <x:c r="A331" t="s">
        <x:v>55</x:v>
      </x:c>
      <x:c r="B331" t="s">
        <x:v>21</x:v>
      </x:c>
      <x:c r="C331" t="s">
        <x:v>13</x:v>
      </x:c>
      <x:c r="D331" s="14">
        <x:v>44624</x:v>
      </x:c>
      <x:c r="E331" s="16">
        <x:v>889</x:v>
      </x:c>
      <x:c r="F331" s="18">
        <x:v>273</x:v>
      </x:c>
    </x:row>
    <x:row r="332">
      <x:c r="A332" t="s">
        <x:v>49</x:v>
      </x:c>
      <x:c r="B332" t="s">
        <x:v>29</x:v>
      </x:c>
      <x:c r="C332" t="s">
        <x:v>37</x:v>
      </x:c>
      <x:c r="D332" s="14">
        <x:v>44749</x:v>
      </x:c>
      <x:c r="E332" s="16">
        <x:v>16016</x:v>
      </x:c>
      <x:c r="F332" s="18">
        <x:v>28</x:v>
      </x:c>
    </x:row>
    <x:row r="333">
      <x:c r="A333" t="s">
        <x:v>43</x:v>
      </x:c>
      <x:c r="B333" t="s">
        <x:v>29</x:v>
      </x:c>
      <x:c r="C333" t="s">
        <x:v>52</x:v>
      </x:c>
      <x:c r="D333" s="14">
        <x:v>44574</x:v>
      </x:c>
      <x:c r="E333" s="16">
        <x:v>10479</x:v>
      </x:c>
      <x:c r="F333" s="18">
        <x:v>118</x:v>
      </x:c>
    </x:row>
    <x:row r="334">
      <x:c r="A334" t="s">
        <x:v>38</x:v>
      </x:c>
      <x:c r="B334" t="s">
        <x:v>15</x:v>
      </x:c>
      <x:c r="C334" t="s">
        <x:v>47</x:v>
      </x:c>
      <x:c r="D334" s="14">
        <x:v>44755</x:v>
      </x:c>
      <x:c r="E334" s="16">
        <x:v>2912</x:v>
      </x:c>
      <x:c r="F334" s="18">
        <x:v>75</x:v>
      </x:c>
    </x:row>
    <x:row r="335">
      <x:c r="A335" t="s">
        <x:v>53</x:v>
      </x:c>
      <x:c r="B335" t="s">
        <x:v>15</x:v>
      </x:c>
      <x:c r="C335" t="s">
        <x:v>11</x:v>
      </x:c>
      <x:c r="D335" s="14">
        <x:v>44728</x:v>
      </x:c>
      <x:c r="E335" s="16">
        <x:v>1575</x:v>
      </x:c>
      <x:c r="F335" s="18">
        <x:v>329</x:v>
      </x:c>
    </x:row>
    <x:row r="336">
      <x:c r="A336" t="s">
        <x:v>12</x:v>
      </x:c>
      <x:c r="B336" t="s">
        <x:v>7</x:v>
      </x:c>
      <x:c r="C336" t="s">
        <x:v>22</x:v>
      </x:c>
      <x:c r="D336" s="14">
        <x:v>44760</x:v>
      </x:c>
      <x:c r="E336" s="16">
        <x:v>8197</x:v>
      </x:c>
      <x:c r="F336" s="18">
        <x:v>69</x:v>
      </x:c>
    </x:row>
    <x:row r="337">
      <x:c r="A337" t="s">
        <x:v>55</x:v>
      </x:c>
      <x:c r="B337" t="s">
        <x:v>7</x:v>
      </x:c>
      <x:c r="C337" t="s">
        <x:v>45</x:v>
      </x:c>
      <x:c r="D337" s="14">
        <x:v>44711</x:v>
      </x:c>
      <x:c r="E337" s="16">
        <x:v>4221</x:v>
      </x:c>
      <x:c r="F337" s="18">
        <x:v>395</x:v>
      </x:c>
    </x:row>
    <x:row r="338">
      <x:c r="A338" t="s">
        <x:v>12</x:v>
      </x:c>
      <x:c r="B338" t="s">
        <x:v>7</x:v>
      </x:c>
      <x:c r="C338" t="s">
        <x:v>58</x:v>
      </x:c>
      <x:c r="D338" s="14">
        <x:v>44733</x:v>
      </x:c>
      <x:c r="E338" s="16">
        <x:v>840</x:v>
      </x:c>
      <x:c r="F338" s="18">
        <x:v>81</x:v>
      </x:c>
    </x:row>
    <x:row r="339">
      <x:c r="A339" t="s">
        <x:v>6</x:v>
      </x:c>
      <x:c r="B339" t="s">
        <x:v>15</x:v>
      </x:c>
      <x:c r="C339" t="s">
        <x:v>13</x:v>
      </x:c>
      <x:c r="D339" s="14">
        <x:v>44736</x:v>
      </x:c>
      <x:c r="E339" s="16">
        <x:v>5691</x:v>
      </x:c>
      <x:c r="F339" s="18">
        <x:v>38</x:v>
      </x:c>
    </x:row>
    <x:row r="340">
      <x:c r="A340" t="s">
        <x:v>33</x:v>
      </x:c>
      <x:c r="B340" t="s">
        <x:v>10</x:v>
      </x:c>
      <x:c r="C340" t="s">
        <x:v>30</x:v>
      </x:c>
      <x:c r="D340" s="14">
        <x:v>44574</x:v>
      </x:c>
      <x:c r="E340" s="16">
        <x:v>3472</x:v>
      </x:c>
      <x:c r="F340" s="18">
        <x:v>96</x:v>
      </x:c>
    </x:row>
    <x:row r="341">
      <x:c r="A341" t="s">
        <x:v>38</x:v>
      </x:c>
      <x:c r="B341" t="s">
        <x:v>29</x:v>
      </x:c>
      <x:c r="C341" t="s">
        <x:v>42</x:v>
      </x:c>
      <x:c r="D341" s="14">
        <x:v>44655</x:v>
      </x:c>
      <x:c r="E341" s="16">
        <x:v>4193</x:v>
      </x:c>
      <x:c r="F341" s="18">
        <x:v>195</x:v>
      </x:c>
    </x:row>
    <x:row r="342">
      <x:c r="A342" t="s">
        <x:v>41</x:v>
      </x:c>
      <x:c r="B342" t="s">
        <x:v>7</x:v>
      </x:c>
      <x:c r="C342" t="s">
        <x:v>16</x:v>
      </x:c>
      <x:c r="D342" s="14">
        <x:v>44720</x:v>
      </x:c>
      <x:c r="E342" s="16">
        <x:v>9016</x:v>
      </x:c>
      <x:c r="F342" s="18">
        <x:v>554</x:v>
      </x:c>
    </x:row>
    <x:row r="343">
      <x:c r="A343" t="s">
        <x:v>31</x:v>
      </x:c>
      <x:c r="B343" t="s">
        <x:v>29</x:v>
      </x:c>
      <x:c r="C343" t="s">
        <x:v>39</x:v>
      </x:c>
      <x:c r="D343" s="14">
        <x:v>44775</x:v>
      </x:c>
      <x:c r="E343" s="16">
        <x:v>6328</x:v>
      </x:c>
      <x:c r="F343" s="18">
        <x:v>47</x:v>
      </x:c>
    </x:row>
    <x:row r="344">
      <x:c r="A344" t="s">
        <x:v>49</x:v>
      </x:c>
      <x:c r="B344" t="s">
        <x:v>26</x:v>
      </x:c>
      <x:c r="C344" t="s">
        <x:v>35</x:v>
      </x:c>
      <x:c r="D344" s="14">
        <x:v>44763</x:v>
      </x:c>
      <x:c r="E344" s="16">
        <x:v>9870</x:v>
      </x:c>
      <x:c r="F344" s="18">
        <x:v>152</x:v>
      </x:c>
    </x:row>
    <x:row r="345">
      <x:c r="A345" t="s">
        <x:v>38</x:v>
      </x:c>
      <x:c r="B345" t="s">
        <x:v>10</x:v>
      </x:c>
      <x:c r="C345" t="s">
        <x:v>39</x:v>
      </x:c>
      <x:c r="D345" s="14">
        <x:v>44732</x:v>
      </x:c>
      <x:c r="E345" s="16">
        <x:v>161</x:v>
      </x:c>
      <x:c r="F345" s="18">
        <x:v>134</x:v>
      </x:c>
    </x:row>
    <x:row r="346">
      <x:c r="A346" t="s">
        <x:v>36</x:v>
      </x:c>
      <x:c r="B346" t="s">
        <x:v>10</x:v>
      </x:c>
      <x:c r="C346" t="s">
        <x:v>20</x:v>
      </x:c>
      <x:c r="D346" s="14">
        <x:v>44734</x:v>
      </x:c>
      <x:c r="E346" s="16">
        <x:v>2576</x:v>
      </x:c>
      <x:c r="F346" s="18">
        <x:v>112</x:v>
      </x:c>
    </x:row>
    <x:row r="347">
      <x:c r="A347" t="s">
        <x:v>50</x:v>
      </x:c>
      <x:c r="B347" t="s">
        <x:v>15</x:v>
      </x:c>
      <x:c r="C347" t="s">
        <x:v>57</x:v>
      </x:c>
      <x:c r="D347" s="14">
        <x:v>44683</x:v>
      </x:c>
      <x:c r="E347" s="16">
        <x:v>3178</x:v>
      </x:c>
      <x:c r="F347" s="18">
        <x:v>16</x:v>
      </x:c>
    </x:row>
    <x:row r="348">
      <x:c r="A348" t="s">
        <x:v>38</x:v>
      </x:c>
      <x:c r="B348" t="s">
        <x:v>15</x:v>
      </x:c>
      <x:c r="C348" t="s">
        <x:v>18</x:v>
      </x:c>
      <x:c r="D348" s="14">
        <x:v>44568</x:v>
      </x:c>
      <x:c r="E348" s="16">
        <x:v>4676</x:v>
      </x:c>
      <x:c r="F348" s="18">
        <x:v>84</x:v>
      </x:c>
    </x:row>
    <x:row r="349">
      <x:c r="A349" t="s">
        <x:v>28</x:v>
      </x:c>
      <x:c r="B349" t="s">
        <x:v>7</x:v>
      </x:c>
      <x:c r="C349" t="s">
        <x:v>22</x:v>
      </x:c>
      <x:c r="D349" s="14">
        <x:v>44613</x:v>
      </x:c>
      <x:c r="E349" s="16">
        <x:v>5502</x:v>
      </x:c>
      <x:c r="F349" s="18">
        <x:v>99</x:v>
      </x:c>
    </x:row>
    <x:row r="350">
      <x:c r="A350" t="s">
        <x:v>55</x:v>
      </x:c>
      <x:c r="B350" t="s">
        <x:v>29</x:v>
      </x:c>
      <x:c r="C350" t="s">
        <x:v>56</x:v>
      </x:c>
      <x:c r="D350" s="14">
        <x:v>44641</x:v>
      </x:c>
      <x:c r="E350" s="16">
        <x:v>7462</x:v>
      </x:c>
      <x:c r="F350" s="18">
        <x:v>371</x:v>
      </x:c>
    </x:row>
    <x:row r="351">
      <x:c r="A351" t="s">
        <x:v>9</x:v>
      </x:c>
      <x:c r="B351" t="s">
        <x:v>7</x:v>
      </x:c>
      <x:c r="C351" t="s">
        <x:v>32</x:v>
      </x:c>
      <x:c r="D351" s="14">
        <x:v>44655</x:v>
      </x:c>
      <x:c r="E351" s="16">
        <x:v>5803</x:v>
      </x:c>
      <x:c r="F351" s="18">
        <x:v>136</x:v>
      </x:c>
    </x:row>
    <x:row r="352">
      <x:c r="A352" t="s">
        <x:v>19</x:v>
      </x:c>
      <x:c r="B352" t="s">
        <x:v>29</x:v>
      </x:c>
      <x:c r="C352" t="s">
        <x:v>42</x:v>
      </x:c>
      <x:c r="D352" s="14">
        <x:v>44644</x:v>
      </x:c>
      <x:c r="E352" s="16">
        <x:v>13888</x:v>
      </x:c>
      <x:c r="F352" s="18">
        <x:v>203</x:v>
      </x:c>
    </x:row>
    <x:row r="353">
      <x:c r="A353" t="s">
        <x:v>19</x:v>
      </x:c>
      <x:c r="B353" t="s">
        <x:v>21</x:v>
      </x:c>
      <x:c r="C353" t="s">
        <x:v>39</x:v>
      </x:c>
      <x:c r="D353" s="14">
        <x:v>44740</x:v>
      </x:c>
      <x:c r="E353" s="16">
        <x:v>6867</x:v>
      </x:c>
      <x:c r="F353" s="18">
        <x:v>183</x:v>
      </x:c>
    </x:row>
    <x:row r="354">
      <x:c r="A354" t="s">
        <x:v>19</x:v>
      </x:c>
      <x:c r="B354" t="s">
        <x:v>15</x:v>
      </x:c>
      <x:c r="C354" t="s">
        <x:v>32</x:v>
      </x:c>
      <x:c r="D354" s="14">
        <x:v>44575</x:v>
      </x:c>
      <x:c r="E354" s="16">
        <x:v>2317</x:v>
      </x:c>
      <x:c r="F354" s="18">
        <x:v>195</x:v>
      </x:c>
    </x:row>
    <x:row r="355">
      <x:c r="A355" t="s">
        <x:v>31</x:v>
      </x:c>
      <x:c r="B355" t="s">
        <x:v>21</x:v>
      </x:c>
      <x:c r="C355" t="s">
        <x:v>42</x:v>
      </x:c>
      <x:c r="D355" s="14">
        <x:v>44599</x:v>
      </x:c>
      <x:c r="E355" s="16">
        <x:v>1218</x:v>
      </x:c>
      <x:c r="F355" s="18">
        <x:v>135</x:v>
      </x:c>
    </x:row>
    <x:row r="356">
      <x:c r="A356" t="s">
        <x:v>43</x:v>
      </x:c>
      <x:c r="B356" t="s">
        <x:v>21</x:v>
      </x:c>
      <x:c r="C356" t="s">
        <x:v>32</x:v>
      </x:c>
      <x:c r="D356" s="14">
        <x:v>44572</x:v>
      </x:c>
      <x:c r="E356" s="16">
        <x:v>4109</x:v>
      </x:c>
      <x:c r="F356" s="18">
        <x:v>197</x:v>
      </x:c>
    </x:row>
    <x:row r="357">
      <x:c r="A357" t="s">
        <x:v>6</x:v>
      </x:c>
      <x:c r="B357" t="s">
        <x:v>10</x:v>
      </x:c>
      <x:c r="C357" t="s">
        <x:v>18</x:v>
      </x:c>
      <x:c r="D357" s="14">
        <x:v>44617</x:v>
      </x:c>
      <x:c r="E357" s="16">
        <x:v>1953</x:v>
      </x:c>
      <x:c r="F357" s="18">
        <x:v>242</x:v>
      </x:c>
    </x:row>
    <x:row r="358">
      <x:c r="A358" t="s">
        <x:v>54</x:v>
      </x:c>
      <x:c r="B358" t="s">
        <x:v>15</x:v>
      </x:c>
      <x:c r="C358" t="s">
        <x:v>8</x:v>
      </x:c>
      <x:c r="D358" s="14">
        <x:v>44774</x:v>
      </x:c>
      <x:c r="E358" s="16">
        <x:v>6790</x:v>
      </x:c>
      <x:c r="F358" s="18">
        <x:v>25</x:v>
      </x:c>
    </x:row>
    <x:row r="359">
      <x:c r="A359" t="s">
        <x:v>36</x:v>
      </x:c>
      <x:c r="B359" t="s">
        <x:v>15</x:v>
      </x:c>
      <x:c r="C359" t="s">
        <x:v>8</x:v>
      </x:c>
      <x:c r="D359" s="14">
        <x:v>44686</x:v>
      </x:c>
      <x:c r="E359" s="16">
        <x:v>6797</x:v>
      </x:c>
      <x:c r="F359" s="18">
        <x:v>252</x:v>
      </x:c>
    </x:row>
    <x:row r="360">
      <x:c r="A360" t="s">
        <x:v>53</x:v>
      </x:c>
      <x:c r="B360" t="s">
        <x:v>21</x:v>
      </x:c>
      <x:c r="C360" t="s">
        <x:v>51</x:v>
      </x:c>
      <x:c r="D360" s="14">
        <x:v>44699</x:v>
      </x:c>
      <x:c r="E360" s="16">
        <x:v>9226</x:v>
      </x:c>
      <x:c r="F360" s="18">
        <x:v>415</x:v>
      </x:c>
    </x:row>
    <x:row r="361">
      <x:c r="A361" t="s">
        <x:v>54</x:v>
      </x:c>
      <x:c r="B361" t="s">
        <x:v>21</x:v>
      </x:c>
      <x:c r="C361" t="s">
        <x:v>52</x:v>
      </x:c>
      <x:c r="D361" s="14">
        <x:v>44565</x:v>
      </x:c>
      <x:c r="E361" s="16">
        <x:v>5733</x:v>
      </x:c>
      <x:c r="F361" s="18">
        <x:v>348</x:v>
      </x:c>
    </x:row>
    <x:row r="362">
      <x:c r="A362" t="s">
        <x:v>36</x:v>
      </x:c>
      <x:c r="B362" t="s">
        <x:v>21</x:v>
      </x:c>
      <x:c r="C362" t="s">
        <x:v>22</x:v>
      </x:c>
      <x:c r="D362" s="14">
        <x:v>44690</x:v>
      </x:c>
      <x:c r="E362" s="16">
        <x:v>4312</x:v>
      </x:c>
      <x:c r="F362" s="18">
        <x:v>211</x:v>
      </x:c>
    </x:row>
    <x:row r="363">
      <x:c r="A363" t="s">
        <x:v>24</x:v>
      </x:c>
      <x:c r="B363" t="s">
        <x:v>10</x:v>
      </x:c>
      <x:c r="C363" t="s">
        <x:v>16</x:v>
      </x:c>
      <x:c r="D363" s="14">
        <x:v>44687</x:v>
      </x:c>
      <x:c r="E363" s="16">
        <x:v>1638</x:v>
      </x:c>
      <x:c r="F363" s="18">
        <x:v>81</x:v>
      </x:c>
    </x:row>
    <x:row r="364">
      <x:c r="A364" t="s">
        <x:v>40</x:v>
      </x:c>
      <x:c r="B364" t="s">
        <x:v>7</x:v>
      </x:c>
      <x:c r="C364" t="s">
        <x:v>44</x:v>
      </x:c>
      <x:c r="D364" s="14">
        <x:v>44574</x:v>
      </x:c>
      <x:c r="E364" s="16">
        <x:v>10815</x:v>
      </x:c>
      <x:c r="F364" s="18">
        <x:v>145</x:v>
      </x:c>
    </x:row>
    <x:row r="365">
      <x:c r="A365" t="s">
        <x:v>36</x:v>
      </x:c>
      <x:c r="B365" t="s">
        <x:v>15</x:v>
      </x:c>
      <x:c r="C365" t="s">
        <x:v>47</x:v>
      </x:c>
      <x:c r="D365" s="14">
        <x:v>44736</x:v>
      </x:c>
      <x:c r="E365" s="16">
        <x:v>4466</x:v>
      </x:c>
      <x:c r="F365" s="18">
        <x:v>74</x:v>
      </x:c>
    </x:row>
    <x:row r="366">
      <x:c r="A366" t="s">
        <x:v>9</x:v>
      </x:c>
      <x:c r="B366" t="s">
        <x:v>26</x:v>
      </x:c>
      <x:c r="C366" t="s">
        <x:v>57</x:v>
      </x:c>
      <x:c r="D366" s="14">
        <x:v>44606</x:v>
      </x:c>
      <x:c r="E366" s="16">
        <x:v>987</x:v>
      </x:c>
      <x:c r="F366" s="18">
        <x:v>21</x:v>
      </x:c>
    </x:row>
    <x:row r="367">
      <x:c r="A367" t="s">
        <x:v>50</x:v>
      </x:c>
      <x:c r="B367" t="s">
        <x:v>15</x:v>
      </x:c>
      <x:c r="C367" t="s">
        <x:v>18</x:v>
      </x:c>
      <x:c r="D367" s="14">
        <x:v>44579</x:v>
      </x:c>
      <x:c r="E367" s="16">
        <x:v>4669</x:v>
      </x:c>
      <x:c r="F367" s="18">
        <x:v>101</x:v>
      </x:c>
    </x:row>
    <x:row r="368">
      <x:c r="A368" t="s">
        <x:v>41</x:v>
      </x:c>
      <x:c r="B368" t="s">
        <x:v>10</x:v>
      </x:c>
      <x:c r="C368" t="s">
        <x:v>37</x:v>
      </x:c>
      <x:c r="D368" s="14">
        <x:v>44683</x:v>
      </x:c>
      <x:c r="E368" s="16">
        <x:v>2905</x:v>
      </x:c>
      <x:c r="F368" s="18">
        <x:v>91</x:v>
      </x:c>
    </x:row>
    <x:row r="369">
      <x:c r="A369" t="s">
        <x:v>55</x:v>
      </x:c>
      <x:c r="B369" t="s">
        <x:v>15</x:v>
      </x:c>
      <x:c r="C369" t="s">
        <x:v>16</x:v>
      </x:c>
      <x:c r="D369" s="14">
        <x:v>44697</x:v>
      </x:c>
      <x:c r="E369" s="16">
        <x:v>7490</x:v>
      </x:c>
      <x:c r="F369" s="18">
        <x:v>54</x:v>
      </x:c>
    </x:row>
    <x:row r="370">
      <x:c r="A370" t="s">
        <x:v>28</x:v>
      </x:c>
      <x:c r="B370" t="s">
        <x:v>26</x:v>
      </x:c>
      <x:c r="C370" t="s">
        <x:v>47</x:v>
      </x:c>
      <x:c r="D370" s="14">
        <x:v>44589</x:v>
      </x:c>
      <x:c r="E370" s="16">
        <x:v>6986</x:v>
      </x:c>
      <x:c r="F370" s="18">
        <x:v>368</x:v>
      </x:c>
    </x:row>
    <x:row r="371">
      <x:c r="A371" t="s">
        <x:v>41</x:v>
      </x:c>
      <x:c r="B371" t="s">
        <x:v>29</x:v>
      </x:c>
      <x:c r="C371" t="s">
        <x:v>18</x:v>
      </x:c>
      <x:c r="D371" s="14">
        <x:v>44736</x:v>
      </x:c>
      <x:c r="E371" s="16">
        <x:v>1288</x:v>
      </x:c>
      <x:c r="F371" s="18">
        <x:v>409</x:v>
      </x:c>
    </x:row>
    <x:row r="372">
      <x:c r="A372" t="s">
        <x:v>17</x:v>
      </x:c>
      <x:c r="B372" t="s">
        <x:v>7</x:v>
      </x:c>
      <x:c r="C372" t="s">
        <x:v>20</x:v>
      </x:c>
      <x:c r="D372" s="14">
        <x:v>44760</x:v>
      </x:c>
      <x:c r="E372" s="16">
        <x:v>2345</x:v>
      </x:c>
      <x:c r="F372" s="18">
        <x:v>104</x:v>
      </x:c>
    </x:row>
    <x:row r="373">
      <x:c r="A373" t="s">
        <x:v>19</x:v>
      </x:c>
      <x:c r="B373" t="s">
        <x:v>7</x:v>
      </x:c>
      <x:c r="C373" t="s">
        <x:v>30</x:v>
      </x:c>
      <x:c r="D373" s="14">
        <x:v>44664</x:v>
      </x:c>
      <x:c r="E373" s="16">
        <x:v>3619</x:v>
      </x:c>
      <x:c r="F373" s="18">
        <x:v>164</x:v>
      </x:c>
    </x:row>
    <x:row r="374">
      <x:c r="A374" t="s">
        <x:v>54</x:v>
      </x:c>
      <x:c r="B374" t="s">
        <x:v>26</x:v>
      </x:c>
      <x:c r="C374" t="s">
        <x:v>57</x:v>
      </x:c>
      <x:c r="D374" s="14">
        <x:v>44666</x:v>
      </x:c>
      <x:c r="E374" s="16">
        <x:v>16982</x:v>
      </x:c>
      <x:c r="F374" s="18">
        <x:v>76</x:v>
      </x:c>
    </x:row>
    <x:row r="375">
      <x:c r="A375" t="s">
        <x:v>14</x:v>
      </x:c>
      <x:c r="B375" t="s">
        <x:v>10</x:v>
      </x:c>
      <x:c r="C375" t="s">
        <x:v>13</x:v>
      </x:c>
      <x:c r="D375" s="14">
        <x:v>44565</x:v>
      </x:c>
      <x:c r="E375" s="16">
        <x:v>8092</x:v>
      </x:c>
      <x:c r="F375" s="18">
        <x:v>178</x:v>
      </x:c>
    </x:row>
    <x:row r="376">
      <x:c r="A376" t="s">
        <x:v>40</x:v>
      </x:c>
      <x:c r="B376" t="s">
        <x:v>15</x:v>
      </x:c>
      <x:c r="C376" t="s">
        <x:v>30</x:v>
      </x:c>
      <x:c r="D376" s="14">
        <x:v>44746</x:v>
      </x:c>
      <x:c r="E376" s="16">
        <x:v>6993</x:v>
      </x:c>
      <x:c r="F376" s="18">
        <x:v>31</x:v>
      </x:c>
    </x:row>
    <x:row r="377">
      <x:c r="A377" t="s">
        <x:v>34</x:v>
      </x:c>
      <x:c r="B377" t="s">
        <x:v>26</x:v>
      </x:c>
      <x:c r="C377" t="s">
        <x:v>16</x:v>
      </x:c>
      <x:c r="D377" s="14">
        <x:v>44644</x:v>
      </x:c>
      <x:c r="E377" s="16">
        <x:v>2317</x:v>
      </x:c>
      <x:c r="F377" s="18">
        <x:v>352</x:v>
      </x:c>
    </x:row>
    <x:row r="378">
      <x:c r="A378" t="s">
        <x:v>50</x:v>
      </x:c>
      <x:c r="B378" t="s">
        <x:v>15</x:v>
      </x:c>
      <x:c r="C378" t="s">
        <x:v>45</x:v>
      </x:c>
      <x:c r="D378" s="14">
        <x:v>44637</x:v>
      </x:c>
      <x:c r="E378" s="16">
        <x:v>637</x:v>
      </x:c>
      <x:c r="F378" s="18">
        <x:v>169</x:v>
      </x:c>
    </x:row>
    <x:row r="379">
      <x:c r="A379" t="s">
        <x:v>17</x:v>
      </x:c>
      <x:c r="B379" t="s">
        <x:v>15</x:v>
      </x:c>
      <x:c r="C379" t="s">
        <x:v>47</x:v>
      </x:c>
      <x:c r="D379" s="14">
        <x:v>44607</x:v>
      </x:c>
      <x:c r="E379" s="16">
        <x:v>6034</x:v>
      </x:c>
      <x:c r="F379" s="18">
        <x:v>223</x:v>
      </x:c>
    </x:row>
    <x:row r="380">
      <x:c r="A380" t="s">
        <x:v>14</x:v>
      </x:c>
      <x:c r="B380" t="s">
        <x:v>26</x:v>
      </x:c>
      <x:c r="C380" t="s">
        <x:v>27</x:v>
      </x:c>
      <x:c r="D380" s="14">
        <x:v>44741</x:v>
      </x:c>
      <x:c r="E380" s="16">
        <x:v>980</x:v>
      </x:c>
      <x:c r="F380" s="18">
        <x:v>146</x:v>
      </x:c>
    </x:row>
    <x:row r="381">
      <x:c r="A381" t="s">
        <x:v>12</x:v>
      </x:c>
      <x:c r="B381" t="s">
        <x:v>26</x:v>
      </x:c>
      <x:c r="C381" t="s">
        <x:v>42</x:v>
      </x:c>
      <x:c r="D381" s="14">
        <x:v>44705</x:v>
      </x:c>
      <x:c r="E381" s="16">
        <x:v>2821</x:v>
      </x:c>
      <x:c r="F381" s="18">
        <x:v>112</x:v>
      </x:c>
    </x:row>
    <x:row r="382">
      <x:c r="A382" t="s">
        <x:v>28</x:v>
      </x:c>
      <x:c r="B382" t="s">
        <x:v>7</x:v>
      </x:c>
      <x:c r="C382" t="s">
        <x:v>37</x:v>
      </x:c>
      <x:c r="D382" s="14">
        <x:v>44571</x:v>
      </x:c>
      <x:c r="E382" s="16">
        <x:v>3563</x:v>
      </x:c>
      <x:c r="F382" s="18">
        <x:v>284</x:v>
      </x:c>
    </x:row>
    <x:row r="383">
      <x:c r="A383" t="s">
        <x:v>38</x:v>
      </x:c>
      <x:c r="B383" t="s">
        <x:v>26</x:v>
      </x:c>
      <x:c r="C383" t="s">
        <x:v>51</x:v>
      </x:c>
      <x:c r="D383" s="14">
        <x:v>44635</x:v>
      </x:c>
      <x:c r="E383" s="16">
        <x:v>2996</x:v>
      </x:c>
      <x:c r="F383" s="18">
        <x:v>139</x:v>
      </x:c>
    </x:row>
    <x:row r="384">
      <x:c r="A384" t="s">
        <x:v>33</x:v>
      </x:c>
      <x:c r="B384" t="s">
        <x:v>29</x:v>
      </x:c>
      <x:c r="C384" t="s">
        <x:v>37</x:v>
      </x:c>
      <x:c r="D384" s="14">
        <x:v>44600</x:v>
      </x:c>
      <x:c r="E384" s="16">
        <x:v>2436</x:v>
      </x:c>
      <x:c r="F384" s="18">
        <x:v>309</x:v>
      </x:c>
    </x:row>
    <x:row r="385">
      <x:c r="A385" t="s">
        <x:v>23</x:v>
      </x:c>
      <x:c r="B385" t="s">
        <x:v>10</x:v>
      </x:c>
      <x:c r="C385" t="s">
        <x:v>57</x:v>
      </x:c>
      <x:c r="D385" s="14">
        <x:v>44617</x:v>
      </x:c>
      <x:c r="E385" s="16">
        <x:v>1540</x:v>
      </x:c>
      <x:c r="F385" s="18">
        <x:v>100</x:v>
      </x:c>
    </x:row>
    <x:row r="386">
      <x:c r="A386" t="s">
        <x:v>19</x:v>
      </x:c>
      <x:c r="B386" t="s">
        <x:v>26</x:v>
      </x:c>
      <x:c r="C386" t="s">
        <x:v>30</x:v>
      </x:c>
      <x:c r="D386" s="14">
        <x:v>44684</x:v>
      </x:c>
      <x:c r="E386" s="16">
        <x:v>6916</x:v>
      </x:c>
      <x:c r="F386" s="18">
        <x:v>42</x:v>
      </x:c>
    </x:row>
    <x:row r="387">
      <x:c r="A387" t="s">
        <x:v>36</x:v>
      </x:c>
      <x:c r="B387" t="s">
        <x:v>26</x:v>
      </x:c>
      <x:c r="C387" t="s">
        <x:v>42</x:v>
      </x:c>
      <x:c r="D387" s="14">
        <x:v>44726</x:v>
      </x:c>
      <x:c r="E387" s="16">
        <x:v>5509</x:v>
      </x:c>
      <x:c r="F387" s="18">
        <x:v>24</x:v>
      </x:c>
    </x:row>
    <x:row r="388">
      <x:c r="A388" t="s">
        <x:v>19</x:v>
      </x:c>
      <x:c r="B388" t="s">
        <x:v>10</x:v>
      </x:c>
      <x:c r="C388" t="s">
        <x:v>22</x:v>
      </x:c>
      <x:c r="D388" s="14">
        <x:v>44782</x:v>
      </x:c>
      <x:c r="E388" s="16">
        <x:v>12992</x:v>
      </x:c>
      <x:c r="F388" s="18">
        <x:v>83</x:v>
      </x:c>
    </x:row>
    <x:row r="389">
      <x:c r="A389" t="s">
        <x:v>46</x:v>
      </x:c>
      <x:c r="B389" t="s">
        <x:v>21</x:v>
      </x:c>
      <x:c r="C389" t="s">
        <x:v>45</x:v>
      </x:c>
      <x:c r="D389" s="14">
        <x:v>44753</x:v>
      </x:c>
      <x:c r="E389" s="16">
        <x:v>3724</x:v>
      </x:c>
      <x:c r="F389" s="18">
        <x:v>234</x:v>
      </x:c>
    </x:row>
    <x:row r="390">
      <x:c r="A390" t="s">
        <x:v>41</x:v>
      </x:c>
      <x:c r="B390" t="s">
        <x:v>7</x:v>
      </x:c>
      <x:c r="C390" t="s">
        <x:v>45</x:v>
      </x:c>
      <x:c r="D390" s="14">
        <x:v>44575</x:v>
      </x:c>
      <x:c r="E390" s="16">
        <x:v>7133</x:v>
      </x:c>
      <x:c r="F390" s="18">
        <x:v>118</x:v>
      </x:c>
    </x:row>
    <x:row r="391">
      <x:c r="A391" t="s">
        <x:v>9</x:v>
      </x:c>
      <x:c r="B391" t="s">
        <x:v>29</x:v>
      </x:c>
      <x:c r="C391" t="s">
        <x:v>45</x:v>
      </x:c>
      <x:c r="D391" s="14">
        <x:v>44616</x:v>
      </x:c>
      <x:c r="E391" s="16">
        <x:v>8617</x:v>
      </x:c>
      <x:c r="F391" s="18">
        <x:v>46</x:v>
      </x:c>
    </x:row>
    <x:row r="392">
      <x:c r="A392" t="s">
        <x:v>46</x:v>
      </x:c>
      <x:c r="B392" t="s">
        <x:v>21</x:v>
      </x:c>
      <x:c r="C392" t="s">
        <x:v>47</x:v>
      </x:c>
      <x:c r="D392" s="14">
        <x:v>44635</x:v>
      </x:c>
      <x:c r="E392" s="16">
        <x:v>9198</x:v>
      </x:c>
      <x:c r="F392" s="18">
        <x:v>144</x:v>
      </x:c>
    </x:row>
    <x:row r="393">
      <x:c r="A393" t="s">
        <x:v>17</x:v>
      </x:c>
      <x:c r="B393" t="s">
        <x:v>21</x:v>
      </x:c>
      <x:c r="C393" t="s">
        <x:v>56</x:v>
      </x:c>
      <x:c r="D393" s="14">
        <x:v>44676</x:v>
      </x:c>
      <x:c r="E393" s="16">
        <x:v>11823</x:v>
      </x:c>
      <x:c r="F393" s="18">
        <x:v>47</x:v>
      </x:c>
    </x:row>
    <x:row r="394">
      <x:c r="A394" t="s">
        <x:v>43</x:v>
      </x:c>
      <x:c r="B394" t="s">
        <x:v>15</x:v>
      </x:c>
      <x:c r="C394" t="s">
        <x:v>35</x:v>
      </x:c>
      <x:c r="D394" s="14">
        <x:v>44691</x:v>
      </x:c>
      <x:c r="E394" s="16">
        <x:v>5775</x:v>
      </x:c>
      <x:c r="F394" s="18">
        <x:v>41</x:v>
      </x:c>
    </x:row>
    <x:row r="395">
      <x:c r="A395" t="s">
        <x:v>33</x:v>
      </x:c>
      <x:c r="B395" t="s">
        <x:v>15</x:v>
      </x:c>
      <x:c r="C395" t="s">
        <x:v>39</x:v>
      </x:c>
      <x:c r="D395" s="14">
        <x:v>44735</x:v>
      </x:c>
      <x:c r="E395" s="16">
        <x:v>13125</x:v>
      </x:c>
      <x:c r="F395" s="18">
        <x:v>275</x:v>
      </x:c>
    </x:row>
    <x:row r="396">
      <x:c r="A396" t="s">
        <x:v>34</x:v>
      </x:c>
      <x:c r="B396" t="s">
        <x:v>29</x:v>
      </x:c>
      <x:c r="C396" t="s">
        <x:v>16</x:v>
      </x:c>
      <x:c r="D396" s="14">
        <x:v>44620</x:v>
      </x:c>
      <x:c r="E396" s="16">
        <x:v>14287</x:v>
      </x:c>
      <x:c r="F396" s="18">
        <x:v>370</x:v>
      </x:c>
    </x:row>
    <x:row r="397">
      <x:c r="A397" t="s">
        <x:v>23</x:v>
      </x:c>
      <x:c r="B397" t="s">
        <x:v>26</x:v>
      </x:c>
      <x:c r="C397" t="s">
        <x:v>35</x:v>
      </x:c>
      <x:c r="D397" s="14">
        <x:v>44706</x:v>
      </x:c>
      <x:c r="E397" s="16">
        <x:v>16233</x:v>
      </x:c>
      <x:c r="F397" s="18">
        <x:v>138</x:v>
      </x:c>
    </x:row>
    <x:row r="398">
      <x:c r="A398" t="s">
        <x:v>36</x:v>
      </x:c>
      <x:c r="B398" t="s">
        <x:v>21</x:v>
      </x:c>
      <x:c r="C398" t="s">
        <x:v>56</x:v>
      </x:c>
      <x:c r="D398" s="14">
        <x:v>44614</x:v>
      </x:c>
      <x:c r="E398" s="16">
        <x:v>5313</x:v>
      </x:c>
      <x:c r="F398" s="18">
        <x:v>215</x:v>
      </x:c>
    </x:row>
    <x:row r="399">
      <x:c r="A399" t="s">
        <x:v>9</x:v>
      </x:c>
      <x:c r="B399" t="s">
        <x:v>7</x:v>
      </x:c>
      <x:c r="C399" t="s">
        <x:v>11</x:v>
      </x:c>
      <x:c r="D399" s="14">
        <x:v>44753</x:v>
      </x:c>
      <x:c r="E399" s="16">
        <x:v>3577</x:v>
      </x:c>
      <x:c r="F399" s="18">
        <x:v>134</x:v>
      </x:c>
    </x:row>
    <x:row r="400">
      <x:c r="A400" t="s">
        <x:v>33</x:v>
      </x:c>
      <x:c r="B400" t="s">
        <x:v>29</x:v>
      </x:c>
      <x:c r="C400" t="s">
        <x:v>39</x:v>
      </x:c>
      <x:c r="D400" s="14">
        <x:v>44564</x:v>
      </x:c>
      <x:c r="E400" s="16">
        <x:v>3528</x:v>
      </x:c>
      <x:c r="F400" s="18">
        <x:v>336</x:v>
      </x:c>
    </x:row>
    <x:row r="401">
      <x:c r="A401" t="s">
        <x:v>24</x:v>
      </x:c>
      <x:c r="B401" t="s">
        <x:v>21</x:v>
      </x:c>
      <x:c r="C401" t="s">
        <x:v>58</x:v>
      </x:c>
      <x:c r="D401" s="14">
        <x:v>44797</x:v>
      </x:c>
      <x:c r="E401" s="16">
        <x:v>679</x:v>
      </x:c>
      <x:c r="F401" s="18">
        <x:v>280</x:v>
      </x:c>
    </x:row>
    <x:row r="402">
      <x:c r="A402" t="s">
        <x:v>34</x:v>
      </x:c>
      <x:c r="B402" t="s">
        <x:v>26</x:v>
      </x:c>
      <x:c r="C402" t="s">
        <x:v>22</x:v>
      </x:c>
      <x:c r="D402" s="14">
        <x:v>44770</x:v>
      </x:c>
      <x:c r="E402" s="16">
        <x:v>2450</x:v>
      </x:c>
      <x:c r="F402" s="18">
        <x:v>352</x:v>
      </x:c>
    </x:row>
    <x:row r="403">
      <x:c r="A403" t="s">
        <x:v>23</x:v>
      </x:c>
      <x:c r="B403" t="s">
        <x:v>26</x:v>
      </x:c>
      <x:c r="C403" t="s">
        <x:v>8</x:v>
      </x:c>
      <x:c r="D403" s="14">
        <x:v>44706</x:v>
      </x:c>
      <x:c r="E403" s="16">
        <x:v>10577</x:v>
      </x:c>
      <x:c r="F403" s="18">
        <x:v>150</x:v>
      </x:c>
    </x:row>
    <x:row r="404">
      <x:c r="A404" t="s">
        <x:v>31</x:v>
      </x:c>
      <x:c r="B404" t="s">
        <x:v>21</x:v>
      </x:c>
      <x:c r="C404" t="s">
        <x:v>30</x:v>
      </x:c>
      <x:c r="D404" s="14">
        <x:v>44687</x:v>
      </x:c>
      <x:c r="E404" s="16">
        <x:v>2597</x:v>
      </x:c>
      <x:c r="F404" s="18">
        <x:v>177</x:v>
      </x:c>
    </x:row>
    <x:row r="405">
      <x:c r="A405" t="s">
        <x:v>25</x:v>
      </x:c>
      <x:c r="B405" t="s">
        <x:v>10</x:v>
      </x:c>
      <x:c r="C405" t="s">
        <x:v>32</x:v>
      </x:c>
      <x:c r="D405" s="14">
        <x:v>44589</x:v>
      </x:c>
      <x:c r="E405" s="16">
        <x:v>2219</x:v>
      </x:c>
      <x:c r="F405" s="18">
        <x:v>142</x:v>
      </x:c>
    </x:row>
    <x:row r="406">
      <x:c r="A406" t="s">
        <x:v>33</x:v>
      </x:c>
      <x:c r="B406" t="s">
        <x:v>7</x:v>
      </x:c>
      <x:c r="C406" t="s">
        <x:v>27</x:v>
      </x:c>
      <x:c r="D406" s="14">
        <x:v>44718</x:v>
      </x:c>
      <x:c r="E406" s="16">
        <x:v>11319</x:v>
      </x:c>
      <x:c r="F406" s="18">
        <x:v>12</x:v>
      </x:c>
    </x:row>
    <x:row r="407">
      <x:c r="A407" t="s">
        <x:v>23</x:v>
      </x:c>
      <x:c r="B407" t="s">
        <x:v>21</x:v>
      </x:c>
      <x:c r="C407" t="s">
        <x:v>56</x:v>
      </x:c>
      <x:c r="D407" s="14">
        <x:v>44754</x:v>
      </x:c>
      <x:c r="E407" s="16">
        <x:v>5978</x:v>
      </x:c>
      <x:c r="F407" s="18">
        <x:v>24</x:v>
      </x:c>
    </x:row>
    <x:row r="408">
      <x:c r="A408" t="s">
        <x:v>55</x:v>
      </x:c>
      <x:c r="B408" t="s">
        <x:v>29</x:v>
      </x:c>
      <x:c r="C408" t="s">
        <x:v>39</x:v>
      </x:c>
      <x:c r="D408" s="14">
        <x:v>44778</x:v>
      </x:c>
      <x:c r="E408" s="16">
        <x:v>5327</x:v>
      </x:c>
      <x:c r="F408" s="18">
        <x:v>183</x:v>
      </x:c>
    </x:row>
    <x:row r="409">
      <x:c r="A409" t="s">
        <x:v>23</x:v>
      </x:c>
      <x:c r="B409" t="s">
        <x:v>26</x:v>
      </x:c>
      <x:c r="C409" t="s">
        <x:v>27</x:v>
      </x:c>
      <x:c r="D409" s="14">
        <x:v>44589</x:v>
      </x:c>
      <x:c r="E409" s="16">
        <x:v>6020</x:v>
      </x:c>
      <x:c r="F409" s="18">
        <x:v>147</x:v>
      </x:c>
    </x:row>
    <x:row r="410">
      <x:c r="A410" t="s">
        <x:v>41</x:v>
      </x:c>
      <x:c r="B410" t="s">
        <x:v>10</x:v>
      </x:c>
      <x:c r="C410" t="s">
        <x:v>39</x:v>
      </x:c>
      <x:c r="D410" s="14">
        <x:v>44804</x:v>
      </x:c>
      <x:c r="E410" s="16">
        <x:v>5614</x:v>
      </x:c>
      <x:c r="F410" s="18">
        <x:v>137</x:v>
      </x:c>
    </x:row>
    <x:row r="411">
      <x:c r="A411" t="s">
        <x:v>28</x:v>
      </x:c>
      <x:c r="B411" t="s">
        <x:v>26</x:v>
      </x:c>
      <x:c r="C411" t="s">
        <x:v>22</x:v>
      </x:c>
      <x:c r="D411" s="14">
        <x:v>44670</x:v>
      </x:c>
      <x:c r="E411" s="16">
        <x:v>1736</x:v>
      </x:c>
      <x:c r="F411" s="18">
        <x:v>13</x:v>
      </x:c>
    </x:row>
    <x:row r="412">
      <x:c r="A412" t="s">
        <x:v>28</x:v>
      </x:c>
      <x:c r="B412" t="s">
        <x:v>7</x:v>
      </x:c>
      <x:c r="C412" t="s">
        <x:v>8</x:v>
      </x:c>
      <x:c r="D412" s="14">
        <x:v>44741</x:v>
      </x:c>
      <x:c r="E412" s="16">
        <x:v>6384</x:v>
      </x:c>
      <x:c r="F412" s="18">
        <x:v>2</x:v>
      </x:c>
    </x:row>
    <x:row r="413">
      <x:c r="A413" t="s">
        <x:v>34</x:v>
      </x:c>
      <x:c r="B413" t="s">
        <x:v>10</x:v>
      </x:c>
      <x:c r="C413" t="s">
        <x:v>52</x:v>
      </x:c>
      <x:c r="D413" s="14">
        <x:v>44616</x:v>
      </x:c>
      <x:c r="E413" s="16">
        <x:v>3577</x:v>
      </x:c>
      <x:c r="F413" s="18">
        <x:v>261</x:v>
      </x:c>
    </x:row>
    <x:row r="414">
      <x:c r="A414" t="s">
        <x:v>53</x:v>
      </x:c>
      <x:c r="B414" t="s">
        <x:v>7</x:v>
      </x:c>
      <x:c r="C414" t="s">
        <x:v>16</x:v>
      </x:c>
      <x:c r="D414" s="14">
        <x:v>44624</x:v>
      </x:c>
      <x:c r="E414" s="16">
        <x:v>14539</x:v>
      </x:c>
      <x:c r="F414" s="18">
        <x:v>84</x:v>
      </x:c>
    </x:row>
    <x:row r="415">
      <x:c r="A415" t="s">
        <x:v>12</x:v>
      </x:c>
      <x:c r="B415" t="s">
        <x:v>10</x:v>
      </x:c>
      <x:c r="C415" t="s">
        <x:v>30</x:v>
      </x:c>
      <x:c r="D415" s="14">
        <x:v>44733</x:v>
      </x:c>
      <x:c r="E415" s="16">
        <x:v>3493</x:v>
      </x:c>
      <x:c r="F415" s="18">
        <x:v>68</x:v>
      </x:c>
    </x:row>
    <x:row r="416">
      <x:c r="A416" t="s">
        <x:v>24</x:v>
      </x:c>
      <x:c r="B416" t="s">
        <x:v>15</x:v>
      </x:c>
      <x:c r="C416" t="s">
        <x:v>35</x:v>
      </x:c>
      <x:c r="D416" s="14">
        <x:v>44587</x:v>
      </x:c>
      <x:c r="E416" s="16">
        <x:v>994</x:v>
      </x:c>
      <x:c r="F416" s="18">
        <x:v>105</x:v>
      </x:c>
    </x:row>
    <x:row r="417">
      <x:c r="A417" t="s">
        <x:v>17</x:v>
      </x:c>
      <x:c r="B417" t="s">
        <x:v>21</x:v>
      </x:c>
      <x:c r="C417" t="s">
        <x:v>44</x:v>
      </x:c>
      <x:c r="D417" s="14">
        <x:v>44722</x:v>
      </x:c>
      <x:c r="E417" s="16">
        <x:v>4361</x:v>
      </x:c>
      <x:c r="F417" s="18">
        <x:v>40</x:v>
      </x:c>
    </x:row>
    <x:row r="418">
      <x:c r="A418" t="s">
        <x:v>48</x:v>
      </x:c>
      <x:c r="B418" t="s">
        <x:v>7</x:v>
      </x:c>
      <x:c r="C418" t="s">
        <x:v>32</x:v>
      </x:c>
      <x:c r="D418" s="14">
        <x:v>44704</x:v>
      </x:c>
      <x:c r="E418" s="16">
        <x:v>1554</x:v>
      </x:c>
      <x:c r="F418" s="18">
        <x:v>65</x:v>
      </x:c>
    </x:row>
    <x:row r="419">
      <x:c r="A419" t="s">
        <x:v>49</x:v>
      </x:c>
      <x:c r="B419" t="s">
        <x:v>10</x:v>
      </x:c>
      <x:c r="C419" t="s">
        <x:v>37</x:v>
      </x:c>
      <x:c r="D419" s="14">
        <x:v>44666</x:v>
      </x:c>
      <x:c r="E419" s="16">
        <x:v>966</x:v>
      </x:c>
      <x:c r="F419" s="18">
        <x:v>107</x:v>
      </x:c>
    </x:row>
    <x:row r="420">
      <x:c r="A420" t="s">
        <x:v>31</x:v>
      </x:c>
      <x:c r="B420" t="s">
        <x:v>21</x:v>
      </x:c>
      <x:c r="C420" t="s">
        <x:v>57</x:v>
      </x:c>
      <x:c r="D420" s="14">
        <x:v>44592</x:v>
      </x:c>
      <x:c r="E420" s="16">
        <x:v>5334</x:v>
      </x:c>
      <x:c r="F420" s="18">
        <x:v>227</x:v>
      </x:c>
    </x:row>
    <x:row r="421">
      <x:c r="A421" t="s">
        <x:v>48</x:v>
      </x:c>
      <x:c r="B421" t="s">
        <x:v>21</x:v>
      </x:c>
      <x:c r="C421" t="s">
        <x:v>35</x:v>
      </x:c>
      <x:c r="D421" s="14">
        <x:v>44624</x:v>
      </x:c>
      <x:c r="E421" s="16">
        <x:v>4935</x:v>
      </x:c>
      <x:c r="F421" s="18">
        <x:v>39</x:v>
      </x:c>
    </x:row>
    <x:row r="422">
      <x:c r="A422" t="s">
        <x:v>25</x:v>
      </x:c>
      <x:c r="B422" t="s">
        <x:v>21</x:v>
      </x:c>
      <x:c r="C422" t="s">
        <x:v>20</x:v>
      </x:c>
      <x:c r="D422" s="14">
        <x:v>44670</x:v>
      </x:c>
      <x:c r="E422" s="16">
        <x:v>10024</x:v>
      </x:c>
      <x:c r="F422" s="18">
        <x:v>84</x:v>
      </x:c>
    </x:row>
    <x:row r="423">
      <x:c r="A423" t="s">
        <x:v>34</x:v>
      </x:c>
      <x:c r="B423" t="s">
        <x:v>7</x:v>
      </x:c>
      <x:c r="C423" t="s">
        <x:v>47</x:v>
      </x:c>
      <x:c r="D423" s="14">
        <x:v>44697</x:v>
      </x:c>
      <x:c r="E423" s="16">
        <x:v>2506</x:v>
      </x:c>
      <x:c r="F423" s="18">
        <x:v>100</x:v>
      </x:c>
    </x:row>
    <x:row r="424">
      <x:c r="A424" t="s">
        <x:v>17</x:v>
      </x:c>
      <x:c r="B424" t="s">
        <x:v>15</x:v>
      </x:c>
      <x:c r="C424" t="s">
        <x:v>51</x:v>
      </x:c>
      <x:c r="D424" s="14">
        <x:v>44609</x:v>
      </x:c>
      <x:c r="E424" s="16">
        <x:v>1043</x:v>
      </x:c>
      <x:c r="F424" s="18">
        <x:v>120</x:v>
      </x:c>
    </x:row>
    <x:row r="425">
      <x:c r="A425" t="s">
        <x:v>43</x:v>
      </x:c>
      <x:c r="B425" t="s">
        <x:v>26</x:v>
      </x:c>
      <x:c r="C425" t="s">
        <x:v>51</x:v>
      </x:c>
      <x:c r="D425" s="14">
        <x:v>44579</x:v>
      </x:c>
      <x:c r="E425" s="16">
        <x:v>6524</x:v>
      </x:c>
      <x:c r="F425" s="18">
        <x:v>257</x:v>
      </x:c>
    </x:row>
    <x:row r="426">
      <x:c r="A426" t="s">
        <x:v>36</x:v>
      </x:c>
      <x:c r="B426" t="s">
        <x:v>29</x:v>
      </x:c>
      <x:c r="C426" t="s">
        <x:v>27</x:v>
      </x:c>
      <x:c r="D426" s="14">
        <x:v>44601</x:v>
      </x:c>
      <x:c r="E426" s="16">
        <x:v>8148</x:v>
      </x:c>
      <x:c r="F426" s="18">
        <x:v>85</x:v>
      </x:c>
    </x:row>
    <x:row r="427">
      <x:c r="A427" t="s">
        <x:v>28</x:v>
      </x:c>
      <x:c r="B427" t="s">
        <x:v>29</x:v>
      </x:c>
      <x:c r="C427" t="s">
        <x:v>27</x:v>
      </x:c>
      <x:c r="D427" s="14">
        <x:v>44643</x:v>
      </x:c>
      <x:c r="E427" s="16">
        <x:v>3577</x:v>
      </x:c>
      <x:c r="F427" s="18">
        <x:v>178</x:v>
      </x:c>
    </x:row>
    <x:row r="428">
      <x:c r="A428" t="s">
        <x:v>53</x:v>
      </x:c>
      <x:c r="B428" t="s">
        <x:v>21</x:v>
      </x:c>
      <x:c r="C428" t="s">
        <x:v>57</x:v>
      </x:c>
      <x:c r="D428" s="14">
        <x:v>44593</x:v>
      </x:c>
      <x:c r="E428" s="16">
        <x:v>3374</x:v>
      </x:c>
      <x:c r="F428" s="18">
        <x:v>151</x:v>
      </x:c>
    </x:row>
    <x:row r="429">
      <x:c r="A429" t="s">
        <x:v>28</x:v>
      </x:c>
      <x:c r="B429" t="s">
        <x:v>10</x:v>
      </x:c>
      <x:c r="C429" t="s">
        <x:v>32</x:v>
      </x:c>
      <x:c r="D429" s="14">
        <x:v>44627</x:v>
      </x:c>
      <x:c r="E429" s="16">
        <x:v>3948</x:v>
      </x:c>
      <x:c r="F429" s="18">
        <x:v>142</x:v>
      </x:c>
    </x:row>
    <x:row r="430">
      <x:c r="A430" t="s">
        <x:v>55</x:v>
      </x:c>
      <x:c r="B430" t="s">
        <x:v>7</x:v>
      </x:c>
      <x:c r="C430" t="s">
        <x:v>44</x:v>
      </x:c>
      <x:c r="D430" s="14">
        <x:v>44564</x:v>
      </x:c>
      <x:c r="E430" s="16">
        <x:v>3269</x:v>
      </x:c>
      <x:c r="F430" s="18">
        <x:v>226</x:v>
      </x:c>
    </x:row>
    <x:row r="431">
      <x:c r="A431" t="s">
        <x:v>55</x:v>
      </x:c>
      <x:c r="B431" t="s">
        <x:v>26</x:v>
      </x:c>
      <x:c r="C431" t="s">
        <x:v>44</x:v>
      </x:c>
      <x:c r="D431" s="14">
        <x:v>44603</x:v>
      </x:c>
      <x:c r="E431" s="16">
        <x:v>5271</x:v>
      </x:c>
      <x:c r="F431" s="18">
        <x:v>341</x:v>
      </x:c>
    </x:row>
    <x:row r="432">
      <x:c r="A432" t="s">
        <x:v>43</x:v>
      </x:c>
      <x:c r="B432" t="s">
        <x:v>21</x:v>
      </x:c>
      <x:c r="C432" t="s">
        <x:v>27</x:v>
      </x:c>
      <x:c r="D432" s="14">
        <x:v>44636</x:v>
      </x:c>
      <x:c r="E432" s="16">
        <x:v>4571</x:v>
      </x:c>
      <x:c r="F432" s="18">
        <x:v>140</x:v>
      </x:c>
    </x:row>
    <x:row r="433">
      <x:c r="A433" t="s">
        <x:v>54</x:v>
      </x:c>
      <x:c r="B433" t="s">
        <x:v>10</x:v>
      </x:c>
      <x:c r="C433" t="s">
        <x:v>44</x:v>
      </x:c>
      <x:c r="D433" s="14">
        <x:v>44788</x:v>
      </x:c>
      <x:c r="E433" s="16">
        <x:v>12327</x:v>
      </x:c>
      <x:c r="F433" s="18">
        <x:v>330</x:v>
      </x:c>
    </x:row>
    <x:row r="434">
      <x:c r="A434" t="s">
        <x:v>12</x:v>
      </x:c>
      <x:c r="B434" t="s">
        <x:v>10</x:v>
      </x:c>
      <x:c r="C434" t="s">
        <x:v>45</x:v>
      </x:c>
      <x:c r="D434" s="14">
        <x:v>44693</x:v>
      </x:c>
      <x:c r="E434" s="16">
        <x:v>4935</x:v>
      </x:c>
      <x:c r="F434" s="18">
        <x:v>73</x:v>
      </x:c>
    </x:row>
    <x:row r="435">
      <x:c r="A435" t="s">
        <x:v>9</x:v>
      </x:c>
      <x:c r="B435" t="s">
        <x:v>10</x:v>
      </x:c>
      <x:c r="C435" t="s">
        <x:v>39</x:v>
      </x:c>
      <x:c r="D435" s="14">
        <x:v>44662</x:v>
      </x:c>
      <x:c r="E435" s="16">
        <x:v>6167</x:v>
      </x:c>
      <x:c r="F435" s="18">
        <x:v>4</x:v>
      </x:c>
    </x:row>
    <x:row r="436">
      <x:c r="A436" t="s">
        <x:v>14</x:v>
      </x:c>
      <x:c r="B436" t="s">
        <x:v>21</x:v>
      </x:c>
      <x:c r="C436" t="s">
        <x:v>8</x:v>
      </x:c>
      <x:c r="D436" s="14">
        <x:v>44742</x:v>
      </x:c>
      <x:c r="E436" s="16">
        <x:v>18340</x:v>
      </x:c>
      <x:c r="F436" s="18">
        <x:v>285</x:v>
      </x:c>
    </x:row>
    <x:row r="437">
      <x:c r="A437" t="s">
        <x:v>54</x:v>
      </x:c>
      <x:c r="B437" t="s">
        <x:v>21</x:v>
      </x:c>
      <x:c r="C437" t="s">
        <x:v>44</x:v>
      </x:c>
      <x:c r="D437" s="14">
        <x:v>44727</x:v>
      </x:c>
      <x:c r="E437" s="16">
        <x:v>7014</x:v>
      </x:c>
      <x:c r="F437" s="18">
        <x:v>60</x:v>
      </x:c>
    </x:row>
    <x:row r="438">
      <x:c r="A438" t="s">
        <x:v>24</x:v>
      </x:c>
      <x:c r="B438" t="s">
        <x:v>29</x:v>
      </x:c>
      <x:c r="C438" t="s">
        <x:v>57</x:v>
      </x:c>
      <x:c r="D438" s="14">
        <x:v>44774</x:v>
      </x:c>
      <x:c r="E438" s="16">
        <x:v>7119</x:v>
      </x:c>
      <x:c r="F438" s="18">
        <x:v>101</x:v>
      </x:c>
    </x:row>
    <x:row r="439">
      <x:c r="A439" t="s">
        <x:v>41</x:v>
      </x:c>
      <x:c r="B439" t="s">
        <x:v>26</x:v>
      </x:c>
      <x:c r="C439" t="s">
        <x:v>37</x:v>
      </x:c>
      <x:c r="D439" s="14">
        <x:v>44727</x:v>
      </x:c>
      <x:c r="E439" s="16">
        <x:v>15491</x:v>
      </x:c>
      <x:c r="F439" s="18">
        <x:v>58</x:v>
      </x:c>
    </x:row>
    <x:row r="440">
      <x:c r="A440" t="s">
        <x:v>23</x:v>
      </x:c>
      <x:c r="B440" t="s">
        <x:v>10</x:v>
      </x:c>
      <x:c r="C440" t="s">
        <x:v>20</x:v>
      </x:c>
      <x:c r="D440" s="14">
        <x:v>44728</x:v>
      </x:c>
      <x:c r="E440" s="16">
        <x:v>5747</x:v>
      </x:c>
      <x:c r="F440" s="18">
        <x:v>45</x:v>
      </x:c>
    </x:row>
    <x:row r="441">
      <x:c r="A441" t="s">
        <x:v>17</x:v>
      </x:c>
      <x:c r="B441" t="s">
        <x:v>21</x:v>
      </x:c>
      <x:c r="C441" t="s">
        <x:v>51</x:v>
      </x:c>
      <x:c r="D441" s="14">
        <x:v>44694</x:v>
      </x:c>
      <x:c r="E441" s="16">
        <x:v>4550</x:v>
      </x:c>
      <x:c r="F441" s="18">
        <x:v>281</x:v>
      </x:c>
    </x:row>
    <x:row r="442">
      <x:c r="A442" t="s">
        <x:v>43</x:v>
      </x:c>
      <x:c r="B442" t="s">
        <x:v>26</x:v>
      </x:c>
      <x:c r="C442" t="s">
        <x:v>32</x:v>
      </x:c>
      <x:c r="D442" s="14">
        <x:v>44691</x:v>
      </x:c>
      <x:c r="E442" s="16">
        <x:v>2191</x:v>
      </x:c>
      <x:c r="F442" s="18">
        <x:v>138</x:v>
      </x:c>
    </x:row>
    <x:row r="443">
      <x:c r="A443" t="s">
        <x:v>17</x:v>
      </x:c>
      <x:c r="B443" t="s">
        <x:v>10</x:v>
      </x:c>
      <x:c r="C443" t="s">
        <x:v>30</x:v>
      </x:c>
      <x:c r="D443" s="14">
        <x:v>44798</x:v>
      </x:c>
      <x:c r="E443" s="16">
        <x:v>5663</x:v>
      </x:c>
      <x:c r="F443" s="18">
        <x:v>322</x:v>
      </x:c>
    </x:row>
    <x:row r="444">
      <x:c r="A444" t="s">
        <x:v>55</x:v>
      </x:c>
      <x:c r="B444" t="s">
        <x:v>21</x:v>
      </x:c>
      <x:c r="C444" t="s">
        <x:v>35</x:v>
      </x:c>
      <x:c r="D444" s="14">
        <x:v>44757</x:v>
      </x:c>
      <x:c r="E444" s="16">
        <x:v>7623</x:v>
      </x:c>
      <x:c r="F444" s="18">
        <x:v>85</x:v>
      </x:c>
    </x:row>
    <x:row r="445">
      <x:c r="A445" t="s">
        <x:v>12</x:v>
      </x:c>
      <x:c r="B445" t="s">
        <x:v>7</x:v>
      </x:c>
      <x:c r="C445" t="s">
        <x:v>56</x:v>
      </x:c>
      <x:c r="D445" s="14">
        <x:v>44697</x:v>
      </x:c>
      <x:c r="E445" s="16">
        <x:v>9023</x:v>
      </x:c>
      <x:c r="F445" s="18">
        <x:v>409</x:v>
      </x:c>
    </x:row>
    <x:row r="446">
      <x:c r="A446" t="s">
        <x:v>14</x:v>
      </x:c>
      <x:c r="B446" t="s">
        <x:v>15</x:v>
      </x:c>
      <x:c r="C446" t="s">
        <x:v>22</x:v>
      </x:c>
      <x:c r="D446" s="14">
        <x:v>44726</x:v>
      </x:c>
      <x:c r="E446" s="16">
        <x:v>3402</x:v>
      </x:c>
      <x:c r="F446" s="18">
        <x:v>182</x:v>
      </x:c>
    </x:row>
    <x:row r="447">
      <x:c r="A447" t="s">
        <x:v>34</x:v>
      </x:c>
      <x:c r="B447" t="s">
        <x:v>15</x:v>
      </x:c>
      <x:c r="C447" t="s">
        <x:v>16</x:v>
      </x:c>
      <x:c r="D447" s="14">
        <x:v>44586</x:v>
      </x:c>
      <x:c r="E447" s="16">
        <x:v>10507</x:v>
      </x:c>
      <x:c r="F447" s="18">
        <x:v>467</x:v>
      </x:c>
    </x:row>
    <x:row r="448">
      <x:c r="A448" t="s">
        <x:v>55</x:v>
      </x:c>
      <x:c r="B448" t="s">
        <x:v>26</x:v>
      </x:c>
      <x:c r="C448" t="s">
        <x:v>35</x:v>
      </x:c>
      <x:c r="D448" s="14">
        <x:v>44770</x:v>
      </x:c>
      <x:c r="E448" s="16">
        <x:v>7721</x:v>
      </x:c>
      <x:c r="F448" s="18">
        <x:v>14</x:v>
      </x:c>
    </x:row>
    <x:row r="449">
      <x:c r="A449" t="s">
        <x:v>23</x:v>
      </x:c>
      <x:c r="B449" t="s">
        <x:v>29</x:v>
      </x:c>
      <x:c r="C449" t="s">
        <x:v>8</x:v>
      </x:c>
      <x:c r="D449" s="14">
        <x:v>44589</x:v>
      </x:c>
      <x:c r="E449" s="16">
        <x:v>5033</x:v>
      </x:c>
      <x:c r="F449" s="18">
        <x:v>178</x:v>
      </x:c>
    </x:row>
    <x:row r="450">
      <x:c r="A450" t="s">
        <x:v>41</x:v>
      </x:c>
      <x:c r="B450" t="s">
        <x:v>7</x:v>
      </x:c>
      <x:c r="C450" t="s">
        <x:v>27</x:v>
      </x:c>
      <x:c r="D450" s="14">
        <x:v>44741</x:v>
      </x:c>
      <x:c r="E450" s="16">
        <x:v>1960</x:v>
      </x:c>
      <x:c r="F450" s="18">
        <x:v>191</x:v>
      </x:c>
    </x:row>
    <x:row r="451">
      <x:c r="A451" t="s">
        <x:v>31</x:v>
      </x:c>
      <x:c r="B451" t="s">
        <x:v>15</x:v>
      </x:c>
      <x:c r="C451" t="s">
        <x:v>58</x:v>
      </x:c>
      <x:c r="D451" s="14">
        <x:v>44736</x:v>
      </x:c>
      <x:c r="E451" s="16">
        <x:v>238</x:v>
      </x:c>
      <x:c r="F451" s="18">
        <x:v>317</x:v>
      </x:c>
    </x:row>
    <x:row r="452">
      <x:c r="A452" t="s">
        <x:v>19</x:v>
      </x:c>
      <x:c r="B452" t="s">
        <x:v>29</x:v>
      </x:c>
      <x:c r="C452" t="s">
        <x:v>8</x:v>
      </x:c>
      <x:c r="D452" s="14">
        <x:v>44743</x:v>
      </x:c>
      <x:c r="E452" s="16">
        <x:v>7756</x:v>
      </x:c>
      <x:c r="F452" s="18">
        <x:v>410</x:v>
      </x:c>
    </x:row>
    <x:row r="453">
      <x:c r="A453" t="s">
        <x:v>36</x:v>
      </x:c>
      <x:c r="B453" t="s">
        <x:v>26</x:v>
      </x:c>
      <x:c r="C453" t="s">
        <x:v>13</x:v>
      </x:c>
      <x:c r="D453" s="14">
        <x:v>44617</x:v>
      </x:c>
      <x:c r="E453" s="16">
        <x:v>1736</x:v>
      </x:c>
      <x:c r="F453" s="18">
        <x:v>137</x:v>
      </x:c>
    </x:row>
    <x:row r="454">
      <x:c r="A454" t="s">
        <x:v>38</x:v>
      </x:c>
      <x:c r="B454" t="s">
        <x:v>29</x:v>
      </x:c>
      <x:c r="C454" t="s">
        <x:v>16</x:v>
      </x:c>
      <x:c r="D454" s="14">
        <x:v>44774</x:v>
      </x:c>
      <x:c r="E454" s="16">
        <x:v>2660</x:v>
      </x:c>
      <x:c r="F454" s="18">
        <x:v>12</x:v>
      </x:c>
    </x:row>
    <x:row r="455">
      <x:c r="A455" t="s">
        <x:v>17</x:v>
      </x:c>
      <x:c r="B455" t="s">
        <x:v>15</x:v>
      </x:c>
      <x:c r="C455" t="s">
        <x:v>37</x:v>
      </x:c>
      <x:c r="D455" s="14">
        <x:v>44733</x:v>
      </x:c>
      <x:c r="E455" s="16">
        <x:v>7672</x:v>
      </x:c>
      <x:c r="F455" s="18">
        <x:v>254</x:v>
      </x:c>
    </x:row>
    <x:row r="456">
      <x:c r="A456" t="s">
        <x:v>50</x:v>
      </x:c>
      <x:c r="B456" t="s">
        <x:v>21</x:v>
      </x:c>
      <x:c r="C456" t="s">
        <x:v>39</x:v>
      </x:c>
      <x:c r="D456" s="14">
        <x:v>44586</x:v>
      </x:c>
      <x:c r="E456" s="16">
        <x:v>11564</x:v>
      </x:c>
      <x:c r="F456" s="18">
        <x:v>24</x:v>
      </x:c>
    </x:row>
    <x:row r="457">
      <x:c r="A457" t="s">
        <x:v>12</x:v>
      </x:c>
      <x:c r="B457" t="s">
        <x:v>7</x:v>
      </x:c>
      <x:c r="C457" t="s">
        <x:v>37</x:v>
      </x:c>
      <x:c r="D457" s="14">
        <x:v>44698</x:v>
      </x:c>
      <x:c r="E457" s="16">
        <x:v>1365</x:v>
      </x:c>
      <x:c r="F457" s="18">
        <x:v>232</x:v>
      </x:c>
    </x:row>
    <x:row r="458">
      <x:c r="A458" t="s">
        <x:v>48</x:v>
      </x:c>
      <x:c r="B458" t="s">
        <x:v>15</x:v>
      </x:c>
      <x:c r="C458" t="s">
        <x:v>11</x:v>
      </x:c>
      <x:c r="D458" s="14">
        <x:v>44796</x:v>
      </x:c>
      <x:c r="E458" s="16">
        <x:v>4186</x:v>
      </x:c>
      <x:c r="F458" s="18">
        <x:v>233</x:v>
      </x:c>
    </x:row>
    <x:row r="459">
      <x:c r="A459" t="s">
        <x:v>50</x:v>
      </x:c>
      <x:c r="B459" t="s">
        <x:v>15</x:v>
      </x:c>
      <x:c r="C459" t="s">
        <x:v>16</x:v>
      </x:c>
      <x:c r="D459" s="14">
        <x:v>44623</x:v>
      </x:c>
      <x:c r="E459" s="16">
        <x:v>7406</x:v>
      </x:c>
      <x:c r="F459" s="18">
        <x:v>118</x:v>
      </x:c>
    </x:row>
    <x:row r="460">
      <x:c r="A460" t="s">
        <x:v>36</x:v>
      </x:c>
      <x:c r="B460" t="s">
        <x:v>10</x:v>
      </x:c>
      <x:c r="C460" t="s">
        <x:v>57</x:v>
      </x:c>
      <x:c r="D460" s="14">
        <x:v>44711</x:v>
      </x:c>
      <x:c r="E460" s="16">
        <x:v>8911</x:v>
      </x:c>
      <x:c r="F460" s="18">
        <x:v>543</x:v>
      </x:c>
    </x:row>
    <x:row r="461">
      <x:c r="A461" t="s">
        <x:v>31</x:v>
      </x:c>
      <x:c r="B461" t="s">
        <x:v>26</x:v>
      </x:c>
      <x:c r="C461" t="s">
        <x:v>32</x:v>
      </x:c>
      <x:c r="D461" s="14">
        <x:v>44741</x:v>
      </x:c>
      <x:c r="E461" s="16">
        <x:v>112</x:v>
      </x:c>
      <x:c r="F461" s="18">
        <x:v>223</x:v>
      </x:c>
    </x:row>
    <x:row r="462">
      <x:c r="A462" t="s">
        <x:v>48</x:v>
      </x:c>
      <x:c r="B462" t="s">
        <x:v>29</x:v>
      </x:c>
      <x:c r="C462" t="s">
        <x:v>35</x:v>
      </x:c>
      <x:c r="D462" s="14">
        <x:v>44565</x:v>
      </x:c>
      <x:c r="E462" s="16">
        <x:v>8204</x:v>
      </x:c>
      <x:c r="F462" s="18">
        <x:v>204</x:v>
      </x:c>
    </x:row>
    <x:row r="463">
      <x:c r="A463" t="s">
        <x:v>6</x:v>
      </x:c>
      <x:c r="B463" t="s">
        <x:v>15</x:v>
      </x:c>
      <x:c r="C463" t="s">
        <x:v>32</x:v>
      </x:c>
      <x:c r="D463" s="14">
        <x:v>44575</x:v>
      </x:c>
      <x:c r="E463" s="16">
        <x:v>2611</x:v>
      </x:c>
      <x:c r="F463" s="18">
        <x:v>65</x:v>
      </x:c>
    </x:row>
    <x:row r="464">
      <x:c r="A464" t="s">
        <x:v>31</x:v>
      </x:c>
      <x:c r="B464" t="s">
        <x:v>26</x:v>
      </x:c>
      <x:c r="C464" t="s">
        <x:v>8</x:v>
      </x:c>
      <x:c r="D464" s="14">
        <x:v>44607</x:v>
      </x:c>
      <x:c r="E464" s="16">
        <x:v>15652</x:v>
      </x:c>
      <x:c r="F464" s="18">
        <x:v>53</x:v>
      </x:c>
    </x:row>
    <x:row r="465">
      <x:c r="A465" t="s">
        <x:v>38</x:v>
      </x:c>
      <x:c r="B465" t="s">
        <x:v>21</x:v>
      </x:c>
      <x:c r="C465" t="s">
        <x:v>39</x:v>
      </x:c>
      <x:c r="D465" s="14">
        <x:v>44571</x:v>
      </x:c>
      <x:c r="E465" s="16">
        <x:v>4074</x:v>
      </x:c>
      <x:c r="F465" s="18">
        <x:v>469</x:v>
      </x:c>
    </x:row>
    <x:row r="466">
      <x:c r="A466" t="s">
        <x:v>53</x:v>
      </x:c>
      <x:c r="B466" t="s">
        <x:v>26</x:v>
      </x:c>
      <x:c r="C466" t="s">
        <x:v>44</x:v>
      </x:c>
      <x:c r="D466" s="14">
        <x:v>44685</x:v>
      </x:c>
      <x:c r="E466" s="16">
        <x:v>12250</x:v>
      </x:c>
      <x:c r="F466" s="18">
        <x:v>213</x:v>
      </x:c>
    </x:row>
    <x:row r="467">
      <x:c r="A467" t="s">
        <x:v>48</x:v>
      </x:c>
      <x:c r="B467" t="s">
        <x:v>26</x:v>
      </x:c>
      <x:c r="C467" t="s">
        <x:v>39</x:v>
      </x:c>
      <x:c r="D467" s="14">
        <x:v>44704</x:v>
      </x:c>
      <x:c r="E467" s="16">
        <x:v>2366</x:v>
      </x:c>
      <x:c r="F467" s="18">
        <x:v>5</x:v>
      </x:c>
    </x:row>
    <x:row r="468">
      <x:c r="A468" t="s">
        <x:v>25</x:v>
      </x:c>
      <x:c r="B468" t="s">
        <x:v>21</x:v>
      </x:c>
      <x:c r="C468" t="s">
        <x:v>42</x:v>
      </x:c>
      <x:c r="D468" s="14">
        <x:v>44677</x:v>
      </x:c>
      <x:c r="E468" s="16">
        <x:v>1687</x:v>
      </x:c>
      <x:c r="F468" s="18">
        <x:v>147</x:v>
      </x:c>
    </x:row>
    <x:row r="469">
      <x:c r="A469" t="s">
        <x:v>17</x:v>
      </x:c>
      <x:c r="B469" t="s">
        <x:v>29</x:v>
      </x:c>
      <x:c r="C469" t="s">
        <x:v>35</x:v>
      </x:c>
      <x:c r="D469" s="14">
        <x:v>44747</x:v>
      </x:c>
      <x:c r="E469" s="16">
        <x:v>1232</x:v>
      </x:c>
      <x:c r="F469" s="18">
        <x:v>74</x:v>
      </x:c>
    </x:row>
    <x:row r="470">
      <x:c r="A470" t="s">
        <x:v>53</x:v>
      </x:c>
      <x:c r="B470" t="s">
        <x:v>7</x:v>
      </x:c>
      <x:c r="C470" t="s">
        <x:v>35</x:v>
      </x:c>
      <x:c r="D470" s="14">
        <x:v>44763</x:v>
      </x:c>
      <x:c r="E470" s="16">
        <x:v>6965</x:v>
      </x:c>
      <x:c r="F470" s="18">
        <x:v>163</x:v>
      </x:c>
    </x:row>
    <x:row r="471">
      <x:c r="A471" t="s">
        <x:v>54</x:v>
      </x:c>
      <x:c r="B471" t="s">
        <x:v>26</x:v>
      </x:c>
      <x:c r="C471" t="s">
        <x:v>8</x:v>
      </x:c>
      <x:c r="D471" s="14">
        <x:v>44613</x:v>
      </x:c>
      <x:c r="E471" s="16">
        <x:v>5292</x:v>
      </x:c>
      <x:c r="F471" s="18">
        <x:v>248</x:v>
      </x:c>
    </x:row>
    <x:row r="472">
      <x:c r="A472" t="s">
        <x:v>49</x:v>
      </x:c>
      <x:c r="B472" t="s">
        <x:v>26</x:v>
      </x:c>
      <x:c r="C472" t="s">
        <x:v>27</x:v>
      </x:c>
      <x:c r="D472" s="14">
        <x:v>44595</x:v>
      </x:c>
      <x:c r="E472" s="16">
        <x:v>1379</x:v>
      </x:c>
      <x:c r="F472" s="18">
        <x:v>138</x:v>
      </x:c>
    </x:row>
    <x:row r="473">
      <x:c r="A473" t="s">
        <x:v>12</x:v>
      </x:c>
      <x:c r="B473" t="s">
        <x:v>15</x:v>
      </x:c>
      <x:c r="C473" t="s">
        <x:v>57</x:v>
      </x:c>
      <x:c r="D473" s="14">
        <x:v>44750</x:v>
      </x:c>
      <x:c r="E473" s="16">
        <x:v>8001</x:v>
      </x:c>
      <x:c r="F473" s="18">
        <x:v>151</x:v>
      </x:c>
    </x:row>
    <x:row r="474">
      <x:c r="A474" t="s">
        <x:v>28</x:v>
      </x:c>
      <x:c r="B474" t="s">
        <x:v>10</x:v>
      </x:c>
      <x:c r="C474" t="s">
        <x:v>22</x:v>
      </x:c>
      <x:c r="D474" s="14">
        <x:v>44712</x:v>
      </x:c>
      <x:c r="E474" s="16">
        <x:v>588</x:v>
      </x:c>
      <x:c r="F474" s="18">
        <x:v>139</x:v>
      </x:c>
    </x:row>
    <x:row r="475">
      <x:c r="A475" t="s">
        <x:v>9</x:v>
      </x:c>
      <x:c r="B475" t="s">
        <x:v>21</x:v>
      </x:c>
      <x:c r="C475" t="s">
        <x:v>8</x:v>
      </x:c>
      <x:c r="D475" s="14">
        <x:v>44739</x:v>
      </x:c>
      <x:c r="E475" s="16">
        <x:v>4046</x:v>
      </x:c>
      <x:c r="F475" s="18">
        <x:v>103</x:v>
      </x:c>
    </x:row>
    <x:row r="476">
      <x:c r="A476" t="s">
        <x:v>9</x:v>
      </x:c>
      <x:c r="B476" t="s">
        <x:v>10</x:v>
      </x:c>
      <x:c r="C476" t="s">
        <x:v>22</x:v>
      </x:c>
      <x:c r="D476" s="14">
        <x:v>44694</x:v>
      </x:c>
      <x:c r="E476" s="16">
        <x:v>5103</x:v>
      </x:c>
      <x:c r="F476" s="18">
        <x:v>129</x:v>
      </x:c>
    </x:row>
    <x:row r="477">
      <x:c r="A477" t="s">
        <x:v>9</x:v>
      </x:c>
      <x:c r="B477" t="s">
        <x:v>26</x:v>
      </x:c>
      <x:c r="C477" t="s">
        <x:v>45</x:v>
      </x:c>
      <x:c r="D477" s="14">
        <x:v>44712</x:v>
      </x:c>
      <x:c r="E477" s="16">
        <x:v>2317</x:v>
      </x:c>
      <x:c r="F477" s="18">
        <x:v>102</x:v>
      </x:c>
    </x:row>
    <x:row r="478">
      <x:c r="A478" t="s">
        <x:v>46</x:v>
      </x:c>
      <x:c r="B478" t="s">
        <x:v>26</x:v>
      </x:c>
      <x:c r="C478" t="s">
        <x:v>27</x:v>
      </x:c>
      <x:c r="D478" s="14">
        <x:v>44620</x:v>
      </x:c>
      <x:c r="E478" s="16">
        <x:v>7042</x:v>
      </x:c>
      <x:c r="F478" s="18">
        <x:v>37</x:v>
      </x:c>
    </x:row>
    <x:row r="479">
      <x:c r="A479" t="s">
        <x:v>25</x:v>
      </x:c>
      <x:c r="B479" t="s">
        <x:v>21</x:v>
      </x:c>
      <x:c r="C479" t="s">
        <x:v>30</x:v>
      </x:c>
      <x:c r="D479" s="14">
        <x:v>44648</x:v>
      </x:c>
      <x:c r="E479" s="16">
        <x:v>6713</x:v>
      </x:c>
      <x:c r="F479" s="18">
        <x:v>31</x:v>
      </x:c>
    </x:row>
    <x:row r="480">
      <x:c r="A480" t="s">
        <x:v>12</x:v>
      </x:c>
      <x:c r="B480" t="s">
        <x:v>26</x:v>
      </x:c>
      <x:c r="C480" t="s">
        <x:v>20</x:v>
      </x:c>
      <x:c r="D480" s="14">
        <x:v>44575</x:v>
      </x:c>
      <x:c r="E480" s="16">
        <x:v>1848</x:v>
      </x:c>
      <x:c r="F480" s="18">
        <x:v>227</x:v>
      </x:c>
    </x:row>
    <x:row r="481">
      <x:c r="A481" t="s">
        <x:v>25</x:v>
      </x:c>
      <x:c r="B481" t="s">
        <x:v>21</x:v>
      </x:c>
      <x:c r="C481" t="s">
        <x:v>8</x:v>
      </x:c>
      <x:c r="D481" s="14">
        <x:v>44613</x:v>
      </x:c>
      <x:c r="E481" s="16">
        <x:v>6440</x:v>
      </x:c>
      <x:c r="F481" s="18">
        <x:v>145</x:v>
      </x:c>
    </x:row>
    <x:row r="482">
      <x:c r="A482" t="s">
        <x:v>43</x:v>
      </x:c>
      <x:c r="B482" t="s">
        <x:v>29</x:v>
      </x:c>
      <x:c r="C482" t="s">
        <x:v>11</x:v>
      </x:c>
      <x:c r="D482" s="14">
        <x:v>44774</x:v>
      </x:c>
      <x:c r="E482" s="16">
        <x:v>10885</x:v>
      </x:c>
      <x:c r="F482" s="18">
        <x:v>90</x:v>
      </x:c>
    </x:row>
    <x:row r="483">
      <x:c r="A483" t="s">
        <x:v>34</x:v>
      </x:c>
      <x:c r="B483" t="s">
        <x:v>21</x:v>
      </x:c>
      <x:c r="C483" t="s">
        <x:v>16</x:v>
      </x:c>
      <x:c r="D483" s="14">
        <x:v>44700</x:v>
      </x:c>
      <x:c r="E483" s="16">
        <x:v>2387</x:v>
      </x:c>
      <x:c r="F483" s="18">
        <x:v>59</x:v>
      </x:c>
    </x:row>
    <x:row r="484">
      <x:c r="A484" t="s">
        <x:v>40</x:v>
      </x:c>
      <x:c r="B484" t="s">
        <x:v>26</x:v>
      </x:c>
      <x:c r="C484" t="s">
        <x:v>44</x:v>
      </x:c>
      <x:c r="D484" s="14">
        <x:v>44755</x:v>
      </x:c>
      <x:c r="E484" s="16">
        <x:v>2030</x:v>
      </x:c>
      <x:c r="F484" s="18">
        <x:v>60</x:v>
      </x:c>
    </x:row>
    <x:row r="485">
      <x:c r="A485" t="s">
        <x:v>48</x:v>
      </x:c>
      <x:c r="B485" t="s">
        <x:v>15</x:v>
      </x:c>
      <x:c r="C485" t="s">
        <x:v>13</x:v>
      </x:c>
      <x:c r="D485" s="14">
        <x:v>44671</x:v>
      </x:c>
      <x:c r="E485" s="16">
        <x:v>6678</x:v>
      </x:c>
      <x:c r="F485" s="18">
        <x:v>148</x:v>
      </x:c>
    </x:row>
    <x:row r="486">
      <x:c r="A486" t="s">
        <x:v>43</x:v>
      </x:c>
      <x:c r="B486" t="s">
        <x:v>10</x:v>
      </x:c>
      <x:c r="C486" t="s">
        <x:v>11</x:v>
      </x:c>
      <x:c r="D486" s="14">
        <x:v>44742</x:v>
      </x:c>
      <x:c r="E486" s="16">
        <x:v>4515</x:v>
      </x:c>
      <x:c r="F486" s="18">
        <x:v>22</x:v>
      </x:c>
    </x:row>
    <x:row r="487">
      <x:c r="A487" t="s">
        <x:v>38</x:v>
      </x:c>
      <x:c r="B487" t="s">
        <x:v>7</x:v>
      </x:c>
      <x:c r="C487" t="s">
        <x:v>22</x:v>
      </x:c>
      <x:c r="D487" s="14">
        <x:v>44628</x:v>
      </x:c>
      <x:c r="E487" s="16">
        <x:v>3374</x:v>
      </x:c>
      <x:c r="F487" s="18">
        <x:v>142</x:v>
      </x:c>
    </x:row>
    <x:row r="488">
      <x:c r="A488" t="s">
        <x:v>19</x:v>
      </x:c>
      <x:c r="B488" t="s">
        <x:v>26</x:v>
      </x:c>
      <x:c r="C488" t="s">
        <x:v>42</x:v>
      </x:c>
      <x:c r="D488" s="14">
        <x:v>44629</x:v>
      </x:c>
      <x:c r="E488" s="16">
        <x:v>5852</x:v>
      </x:c>
      <x:c r="F488" s="18">
        <x:v>93</x:v>
      </x:c>
    </x:row>
    <x:row r="489">
      <x:c r="A489" t="s">
        <x:v>17</x:v>
      </x:c>
      <x:c r="B489" t="s">
        <x:v>29</x:v>
      </x:c>
      <x:c r="C489" t="s">
        <x:v>51</x:v>
      </x:c>
      <x:c r="D489" s="14">
        <x:v>44728</x:v>
      </x:c>
      <x:c r="E489" s="16">
        <x:v>1750</x:v>
      </x:c>
      <x:c r="F489" s="18">
        <x:v>208</x:v>
      </x:c>
    </x:row>
    <x:row r="490">
      <x:c r="A490" t="s">
        <x:v>12</x:v>
      </x:c>
      <x:c r="B490" t="s">
        <x:v>7</x:v>
      </x:c>
      <x:c r="C490" t="s">
        <x:v>32</x:v>
      </x:c>
      <x:c r="D490" s="14">
        <x:v>44742</x:v>
      </x:c>
      <x:c r="E490" s="16">
        <x:v>5782</x:v>
      </x:c>
      <x:c r="F490" s="18">
        <x:v>42</x:v>
      </x:c>
    </x:row>
    <x:row r="491">
      <x:c r="A491" t="s">
        <x:v>49</x:v>
      </x:c>
      <x:c r="B491" t="s">
        <x:v>10</x:v>
      </x:c>
      <x:c r="C491" t="s">
        <x:v>8</x:v>
      </x:c>
      <x:c r="D491" s="14">
        <x:v>44770</x:v>
      </x:c>
      <x:c r="E491" s="16">
        <x:v>2870</x:v>
      </x:c>
      <x:c r="F491" s="18">
        <x:v>120</x:v>
      </x:c>
    </x:row>
    <x:row r="492">
      <x:c r="A492" t="s">
        <x:v>31</x:v>
      </x:c>
      <x:c r="B492" t="s">
        <x:v>29</x:v>
      </x:c>
      <x:c r="C492" t="s">
        <x:v>13</x:v>
      </x:c>
      <x:c r="D492" s="14">
        <x:v>44785</x:v>
      </x:c>
      <x:c r="E492" s="16">
        <x:v>3094</x:v>
      </x:c>
      <x:c r="F492" s="18">
        <x:v>159</x:v>
      </x:c>
    </x:row>
    <x:row r="493">
      <x:c r="A493" t="s">
        <x:v>25</x:v>
      </x:c>
      <x:c r="B493" t="s">
        <x:v>7</x:v>
      </x:c>
      <x:c r="C493" t="s">
        <x:v>8</x:v>
      </x:c>
      <x:c r="D493" s="14">
        <x:v>44749</x:v>
      </x:c>
      <x:c r="E493" s="16">
        <x:v>3724</x:v>
      </x:c>
      <x:c r="F493" s="18">
        <x:v>316</x:v>
      </x:c>
    </x:row>
    <x:row r="494">
      <x:c r="A494" t="s">
        <x:v>25</x:v>
      </x:c>
      <x:c r="B494" t="s">
        <x:v>26</x:v>
      </x:c>
      <x:c r="C494" t="s">
        <x:v>11</x:v>
      </x:c>
      <x:c r="D494" s="14">
        <x:v>44798</x:v>
      </x:c>
      <x:c r="E494" s="16">
        <x:v>12761</x:v>
      </x:c>
      <x:c r="F494" s="18">
        <x:v>47</x:v>
      </x:c>
    </x:row>
    <x:row r="495">
      <x:c r="A495" t="s">
        <x:v>40</x:v>
      </x:c>
      <x:c r="B495" t="s">
        <x:v>29</x:v>
      </x:c>
      <x:c r="C495" t="s">
        <x:v>30</x:v>
      </x:c>
      <x:c r="D495" s="14">
        <x:v>44578</x:v>
      </x:c>
      <x:c r="E495" s="16">
        <x:v>3696</x:v>
      </x:c>
      <x:c r="F495" s="18">
        <x:v>233</x:v>
      </x:c>
    </x:row>
    <x:row r="496">
      <x:c r="A496" t="s">
        <x:v>14</x:v>
      </x:c>
      <x:c r="B496" t="s">
        <x:v>15</x:v>
      </x:c>
      <x:c r="C496" t="s">
        <x:v>58</x:v>
      </x:c>
      <x:c r="D496" s="14">
        <x:v>44624</x:v>
      </x:c>
      <x:c r="E496" s="16">
        <x:v>5222</x:v>
      </x:c>
      <x:c r="F496" s="18">
        <x:v>384</x:v>
      </x:c>
    </x:row>
    <x:row r="497">
      <x:c r="A497" t="s">
        <x:v>33</x:v>
      </x:c>
      <x:c r="B497" t="s">
        <x:v>21</x:v>
      </x:c>
      <x:c r="C497" t="s">
        <x:v>42</x:v>
      </x:c>
      <x:c r="D497" s="14">
        <x:v>44798</x:v>
      </x:c>
      <x:c r="E497" s="16">
        <x:v>8939</x:v>
      </x:c>
      <x:c r="F497" s="18">
        <x:v>4</x:v>
      </x:c>
    </x:row>
    <x:row r="498">
      <x:c r="A498" t="s">
        <x:v>55</x:v>
      </x:c>
      <x:c r="B498" t="s">
        <x:v>7</x:v>
      </x:c>
      <x:c r="C498" t="s">
        <x:v>13</x:v>
      </x:c>
      <x:c r="D498" s="14">
        <x:v>44666</x:v>
      </x:c>
      <x:c r="E498" s="16">
        <x:v>2156</x:v>
      </x:c>
      <x:c r="F498" s="18">
        <x:v>260</x:v>
      </x:c>
    </x:row>
    <x:row r="499">
      <x:c r="A499" t="s">
        <x:v>41</x:v>
      </x:c>
      <x:c r="B499" t="s">
        <x:v>26</x:v>
      </x:c>
      <x:c r="C499" t="s">
        <x:v>35</x:v>
      </x:c>
      <x:c r="D499" s="14">
        <x:v>44631</x:v>
      </x:c>
      <x:c r="E499" s="16">
        <x:v>2380</x:v>
      </x:c>
      <x:c r="F499" s="18">
        <x:v>22</x:v>
      </x:c>
    </x:row>
    <x:row r="500">
      <x:c r="A500" t="s">
        <x:v>50</x:v>
      </x:c>
      <x:c r="B500" t="s">
        <x:v>26</x:v>
      </x:c>
      <x:c r="C500" t="s">
        <x:v>51</x:v>
      </x:c>
      <x:c r="D500" s="14">
        <x:v>44701</x:v>
      </x:c>
      <x:c r="E500" s="16">
        <x:v>3339</x:v>
      </x:c>
      <x:c r="F500" s="18">
        <x:v>18</x:v>
      </x:c>
    </x:row>
    <x:row r="501">
      <x:c r="A501" t="s">
        <x:v>23</x:v>
      </x:c>
      <x:c r="B501" t="s">
        <x:v>21</x:v>
      </x:c>
      <x:c r="C501" t="s">
        <x:v>45</x:v>
      </x:c>
      <x:c r="D501" s="14">
        <x:v>44726</x:v>
      </x:c>
      <x:c r="E501" s="16">
        <x:v>14980</x:v>
      </x:c>
      <x:c r="F501" s="18">
        <x:v>42</x:v>
      </x:c>
    </x:row>
    <x:row r="502">
      <x:c r="A502" t="s">
        <x:v>6</x:v>
      </x:c>
      <x:c r="B502" t="s">
        <x:v>21</x:v>
      </x:c>
      <x:c r="C502" t="s">
        <x:v>20</x:v>
      </x:c>
      <x:c r="D502" s="14">
        <x:v>44665</x:v>
      </x:c>
      <x:c r="E502" s="16">
        <x:v>1512</x:v>
      </x:c>
      <x:c r="F502" s="18">
        <x:v>73</x:v>
      </x:c>
    </x:row>
    <x:row r="503">
      <x:c r="A503" t="s">
        <x:v>6</x:v>
      </x:c>
      <x:c r="B503" t="s">
        <x:v>26</x:v>
      </x:c>
      <x:c r="C503" t="s">
        <x:v>16</x:v>
      </x:c>
      <x:c r="D503" s="14">
        <x:v>44749</x:v>
      </x:c>
      <x:c r="E503" s="16">
        <x:v>6657</x:v>
      </x:c>
      <x:c r="F503" s="18">
        <x:v>154</x:v>
      </x:c>
    </x:row>
    <x:row r="504">
      <x:c r="A504" t="s">
        <x:v>53</x:v>
      </x:c>
      <x:c r="B504" t="s">
        <x:v>10</x:v>
      </x:c>
      <x:c r="C504" t="s">
        <x:v>8</x:v>
      </x:c>
      <x:c r="D504" s="14">
        <x:v>44797</x:v>
      </x:c>
      <x:c r="E504" s="16">
        <x:v>3836</x:v>
      </x:c>
      <x:c r="F504" s="18">
        <x:v>71</x:v>
      </x:c>
    </x:row>
    <x:row r="505">
      <x:c r="A505" t="s">
        <x:v>6</x:v>
      </x:c>
      <x:c r="B505" t="s">
        <x:v>10</x:v>
      </x:c>
      <x:c r="C505" t="s">
        <x:v>30</x:v>
      </x:c>
      <x:c r="D505" s="14">
        <x:v>44616</x:v>
      </x:c>
      <x:c r="E505" s="16">
        <x:v>8771</x:v>
      </x:c>
      <x:c r="F505" s="18">
        <x:v>127</x:v>
      </x:c>
    </x:row>
    <x:row r="506">
      <x:c r="A506" t="s">
        <x:v>31</x:v>
      </x:c>
      <x:c r="B506" t="s">
        <x:v>29</x:v>
      </x:c>
      <x:c r="C506" t="s">
        <x:v>51</x:v>
      </x:c>
      <x:c r="D506" s="14">
        <x:v>44690</x:v>
      </x:c>
      <x:c r="E506" s="16">
        <x:v>651</x:v>
      </x:c>
      <x:c r="F506" s="18">
        <x:v>224</x:v>
      </x:c>
    </x:row>
    <x:row r="507">
      <x:c r="A507" t="s">
        <x:v>41</x:v>
      </x:c>
      <x:c r="B507" t="s">
        <x:v>15</x:v>
      </x:c>
      <x:c r="C507" t="s">
        <x:v>58</x:v>
      </x:c>
      <x:c r="D507" s="14">
        <x:v>44600</x:v>
      </x:c>
      <x:c r="E507" s="16">
        <x:v>6706</x:v>
      </x:c>
      <x:c r="F507" s="18">
        <x:v>223</x:v>
      </x:c>
    </x:row>
    <x:row r="508">
      <x:c r="A508" t="s">
        <x:v>36</x:v>
      </x:c>
      <x:c r="B508" t="s">
        <x:v>7</x:v>
      </x:c>
      <x:c r="C508" t="s">
        <x:v>58</x:v>
      </x:c>
      <x:c r="D508" s="14">
        <x:v>44644</x:v>
      </x:c>
      <x:c r="E508" s="16">
        <x:v>1421</x:v>
      </x:c>
      <x:c r="F508" s="18">
        <x:v>284</x:v>
      </x:c>
    </x:row>
    <x:row r="509">
      <x:c r="A509" t="s">
        <x:v>24</x:v>
      </x:c>
      <x:c r="B509" t="s">
        <x:v>26</x:v>
      </x:c>
      <x:c r="C509" t="s">
        <x:v>32</x:v>
      </x:c>
      <x:c r="D509" s="14">
        <x:v>44732</x:v>
      </x:c>
      <x:c r="E509" s="16">
        <x:v>8526</x:v>
      </x:c>
      <x:c r="F509" s="18">
        <x:v>73</x:v>
      </x:c>
    </x:row>
    <x:row r="510">
      <x:c r="A510" t="s">
        <x:v>28</x:v>
      </x:c>
      <x:c r="B510" t="s">
        <x:v>29</x:v>
      </x:c>
      <x:c r="C510" t="s">
        <x:v>45</x:v>
      </x:c>
      <x:c r="D510" s="14">
        <x:v>44627</x:v>
      </x:c>
      <x:c r="E510" s="16">
        <x:v>1435</x:v>
      </x:c>
      <x:c r="F510" s="18">
        <x:v>112</x:v>
      </x:c>
    </x:row>
    <x:row r="511">
      <x:c r="A511" t="s">
        <x:v>41</x:v>
      </x:c>
      <x:c r="B511" t="s">
        <x:v>15</x:v>
      </x:c>
      <x:c r="C511" t="s">
        <x:v>42</x:v>
      </x:c>
      <x:c r="D511" s="14">
        <x:v>44732</x:v>
      </x:c>
      <x:c r="E511" s="16">
        <x:v>7434</x:v>
      </x:c>
      <x:c r="F511" s="18">
        <x:v>85</x:v>
      </x:c>
    </x:row>
    <x:row r="512">
      <x:c r="A512" t="s">
        <x:v>17</x:v>
      </x:c>
      <x:c r="B512" t="s">
        <x:v>21</x:v>
      </x:c>
      <x:c r="C512" t="s">
        <x:v>35</x:v>
      </x:c>
      <x:c r="D512" s="14">
        <x:v>44609</x:v>
      </x:c>
      <x:c r="E512" s="16">
        <x:v>15316</x:v>
      </x:c>
      <x:c r="F512" s="18">
        <x:v>270</x:v>
      </x:c>
    </x:row>
    <x:row r="513">
      <x:c r="A513" t="s">
        <x:v>53</x:v>
      </x:c>
      <x:c r="B513" t="s">
        <x:v>7</x:v>
      </x:c>
      <x:c r="C513" t="s">
        <x:v>18</x:v>
      </x:c>
      <x:c r="D513" s="14">
        <x:v>44587</x:v>
      </x:c>
      <x:c r="E513" s="16">
        <x:v>10479</x:v>
      </x:c>
      <x:c r="F513" s="18">
        <x:v>45</x:v>
      </x:c>
    </x:row>
    <x:row r="514">
      <x:c r="A514" t="s">
        <x:v>53</x:v>
      </x:c>
      <x:c r="B514" t="s">
        <x:v>15</x:v>
      </x:c>
      <x:c r="C514" t="s">
        <x:v>8</x:v>
      </x:c>
      <x:c r="D514" s="14">
        <x:v>44683</x:v>
      </x:c>
      <x:c r="E514" s="16">
        <x:v>2751</x:v>
      </x:c>
      <x:c r="F514" s="18">
        <x:v>153</x:v>
      </x:c>
    </x:row>
    <x:row r="515">
      <x:c r="A515" t="s">
        <x:v>38</x:v>
      </x:c>
      <x:c r="B515" t="s">
        <x:v>29</x:v>
      </x:c>
      <x:c r="C515" t="s">
        <x:v>18</x:v>
      </x:c>
      <x:c r="D515" s="14">
        <x:v>44749</x:v>
      </x:c>
      <x:c r="E515" s="16">
        <x:v>12586</x:v>
      </x:c>
      <x:c r="F515" s="18">
        <x:v>7</x:v>
      </x:c>
    </x:row>
    <x:row r="516">
      <x:c r="A516" t="s">
        <x:v>24</x:v>
      </x:c>
      <x:c r="B516" t="s">
        <x:v>15</x:v>
      </x:c>
      <x:c r="C516" t="s">
        <x:v>56</x:v>
      </x:c>
      <x:c r="D516" s="14">
        <x:v>44795</x:v>
      </x:c>
      <x:c r="E516" s="16">
        <x:v>2786</x:v>
      </x:c>
      <x:c r="F516" s="18">
        <x:v>51</x:v>
      </x:c>
    </x:row>
    <x:row r="517">
      <x:c r="A517" t="s">
        <x:v>31</x:v>
      </x:c>
      <x:c r="B517" t="s">
        <x:v>15</x:v>
      </x:c>
      <x:c r="C517" t="s">
        <x:v>20</x:v>
      </x:c>
      <x:c r="D517" s="14">
        <x:v>44784</x:v>
      </x:c>
      <x:c r="E517" s="16">
        <x:v>2303</x:v>
      </x:c>
      <x:c r="F517" s="18">
        <x:v>67</x:v>
      </x:c>
    </x:row>
    <x:row r="518">
      <x:c r="A518" t="s">
        <x:v>33</x:v>
      </x:c>
      <x:c r="B518" t="s">
        <x:v>7</x:v>
      </x:c>
      <x:c r="C518" t="s">
        <x:v>18</x:v>
      </x:c>
      <x:c r="D518" s="14">
        <x:v>44574</x:v>
      </x:c>
      <x:c r="E518" s="16">
        <x:v>8113</x:v>
      </x:c>
      <x:c r="F518" s="18">
        <x:v>194</x:v>
      </x:c>
    </x:row>
    <x:row r="519">
      <x:c r="A519" t="s">
        <x:v>19</x:v>
      </x:c>
      <x:c r="B519" t="s">
        <x:v>15</x:v>
      </x:c>
      <x:c r="C519" t="s">
        <x:v>22</x:v>
      </x:c>
      <x:c r="D519" s="14">
        <x:v>44622</x:v>
      </x:c>
      <x:c r="E519" s="16">
        <x:v>12271</x:v>
      </x:c>
      <x:c r="F519" s="18">
        <x:v>116</x:v>
      </x:c>
    </x:row>
    <x:row r="520">
      <x:c r="A520" t="s">
        <x:v>33</x:v>
      </x:c>
      <x:c r="B520" t="s">
        <x:v>15</x:v>
      </x:c>
      <x:c r="C520" t="s">
        <x:v>52</x:v>
      </x:c>
      <x:c r="D520" s="14">
        <x:v>44769</x:v>
      </x:c>
      <x:c r="E520" s="16">
        <x:v>11298</x:v>
      </x:c>
      <x:c r="F520" s="18">
        <x:v>41</x:v>
      </x:c>
    </x:row>
    <x:row r="521">
      <x:c r="A521" t="s">
        <x:v>49</x:v>
      </x:c>
      <x:c r="B521" t="s">
        <x:v>21</x:v>
      </x:c>
      <x:c r="C521" t="s">
        <x:v>32</x:v>
      </x:c>
      <x:c r="D521" s="14">
        <x:v>44630</x:v>
      </x:c>
      <x:c r="E521" s="16">
        <x:v>15855</x:v>
      </x:c>
      <x:c r="F521" s="18">
        <x:v>111</x:v>
      </x:c>
    </x:row>
    <x:row r="522">
      <x:c r="A522" t="s">
        <x:v>34</x:v>
      </x:c>
      <x:c r="B522" t="s">
        <x:v>26</x:v>
      </x:c>
      <x:c r="C522" t="s">
        <x:v>11</x:v>
      </x:c>
      <x:c r="D522" s="14">
        <x:v>44796</x:v>
      </x:c>
      <x:c r="E522" s="16">
        <x:v>12404</x:v>
      </x:c>
      <x:c r="F522" s="18">
        <x:v>334</x:v>
      </x:c>
    </x:row>
    <x:row r="523">
      <x:c r="A523" t="s">
        <x:v>36</x:v>
      </x:c>
      <x:c r="B523" t="s">
        <x:v>26</x:v>
      </x:c>
      <x:c r="C523" t="s">
        <x:v>30</x:v>
      </x:c>
      <x:c r="D523" s="14">
        <x:v>44676</x:v>
      </x:c>
      <x:c r="E523" s="16">
        <x:v>3990</x:v>
      </x:c>
      <x:c r="F523" s="18">
        <x:v>155</x:v>
      </x:c>
    </x:row>
    <x:row r="524">
      <x:c r="A524" t="s">
        <x:v>43</x:v>
      </x:c>
      <x:c r="B524" t="s">
        <x:v>7</x:v>
      </x:c>
      <x:c r="C524" t="s">
        <x:v>37</x:v>
      </x:c>
      <x:c r="D524" s="14">
        <x:v>44627</x:v>
      </x:c>
      <x:c r="E524" s="16">
        <x:v>10808</x:v>
      </x:c>
      <x:c r="F524" s="18">
        <x:v>407</x:v>
      </x:c>
    </x:row>
    <x:row r="525">
      <x:c r="A525" t="s">
        <x:v>46</x:v>
      </x:c>
      <x:c r="B525" t="s">
        <x:v>7</x:v>
      </x:c>
      <x:c r="C525" t="s">
        <x:v>35</x:v>
      </x:c>
      <x:c r="D525" s="14">
        <x:v>44754</x:v>
      </x:c>
      <x:c r="E525" s="16">
        <x:v>4858</x:v>
      </x:c>
      <x:c r="F525" s="18">
        <x:v>52</x:v>
      </x:c>
    </x:row>
    <x:row r="526">
      <x:c r="A526" t="s">
        <x:v>53</x:v>
      </x:c>
      <x:c r="B526" t="s">
        <x:v>26</x:v>
      </x:c>
      <x:c r="C526" t="s">
        <x:v>27</x:v>
      </x:c>
      <x:c r="D526" s="14">
        <x:v>44697</x:v>
      </x:c>
      <x:c r="E526" s="16">
        <x:v>7742</x:v>
      </x:c>
      <x:c r="F526" s="18">
        <x:v>138</x:v>
      </x:c>
    </x:row>
    <x:row r="527">
      <x:c r="A527" t="s">
        <x:v>19</x:v>
      </x:c>
      <x:c r="B527" t="s">
        <x:v>10</x:v>
      </x:c>
      <x:c r="C527" t="s">
        <x:v>16</x:v>
      </x:c>
      <x:c r="D527" s="14">
        <x:v>44622</x:v>
      </x:c>
      <x:c r="E527" s="16">
        <x:v>3752</x:v>
      </x:c>
      <x:c r="F527" s="18">
        <x:v>70</x:v>
      </x:c>
    </x:row>
    <x:row r="528">
      <x:c r="A528" t="s">
        <x:v>33</x:v>
      </x:c>
      <x:c r="B528" t="s">
        <x:v>21</x:v>
      </x:c>
      <x:c r="C528" t="s">
        <x:v>11</x:v>
      </x:c>
      <x:c r="D528" s="14">
        <x:v>44711</x:v>
      </x:c>
      <x:c r="E528" s="16">
        <x:v>1218</x:v>
      </x:c>
      <x:c r="F528" s="18">
        <x:v>149</x:v>
      </x:c>
    </x:row>
    <x:row r="529">
      <x:c r="A529" t="s">
        <x:v>33</x:v>
      </x:c>
      <x:c r="B529" t="s">
        <x:v>7</x:v>
      </x:c>
      <x:c r="C529" t="s">
        <x:v>45</x:v>
      </x:c>
      <x:c r="D529" s="14">
        <x:v>44722</x:v>
      </x:c>
      <x:c r="E529" s="16">
        <x:v>10983</x:v>
      </x:c>
      <x:c r="F529" s="18">
        <x:v>179</x:v>
      </x:c>
    </x:row>
    <x:row r="530">
      <x:c r="A530" t="s">
        <x:v>23</x:v>
      </x:c>
      <x:c r="B530" t="s">
        <x:v>26</x:v>
      </x:c>
      <x:c r="C530" t="s">
        <x:v>18</x:v>
      </x:c>
      <x:c r="D530" s="14">
        <x:v>44767</x:v>
      </x:c>
      <x:c r="E530" s="16">
        <x:v>6769</x:v>
      </x:c>
      <x:c r="F530" s="18">
        <x:v>353</x:v>
      </x:c>
    </x:row>
    <x:row r="531">
      <x:c r="A531" t="s">
        <x:v>34</x:v>
      </x:c>
      <x:c r="B531" t="s">
        <x:v>21</x:v>
      </x:c>
      <x:c r="C531" t="s">
        <x:v>8</x:v>
      </x:c>
      <x:c r="D531" s="14">
        <x:v>44721</x:v>
      </x:c>
      <x:c r="E531" s="16">
        <x:v>4361</x:v>
      </x:c>
      <x:c r="F531" s="18">
        <x:v>97</x:v>
      </x:c>
    </x:row>
    <x:row r="532">
      <x:c r="A532" t="s">
        <x:v>43</x:v>
      </x:c>
      <x:c r="B532" t="s">
        <x:v>26</x:v>
      </x:c>
      <x:c r="C532" t="s">
        <x:v>37</x:v>
      </x:c>
      <x:c r="D532" s="14">
        <x:v>44693</x:v>
      </x:c>
      <x:c r="E532" s="16">
        <x:v>777</x:v>
      </x:c>
      <x:c r="F532" s="18">
        <x:v>60</x:v>
      </x:c>
    </x:row>
    <x:row r="533">
      <x:c r="A533" t="s">
        <x:v>19</x:v>
      </x:c>
      <x:c r="B533" t="s">
        <x:v>26</x:v>
      </x:c>
      <x:c r="C533" t="s">
        <x:v>32</x:v>
      </x:c>
      <x:c r="D533" s="14">
        <x:v>44690</x:v>
      </x:c>
      <x:c r="E533" s="16">
        <x:v>3843</x:v>
      </x:c>
      <x:c r="F533" s="18">
        <x:v>5</x:v>
      </x:c>
    </x:row>
    <x:row r="534">
      <x:c r="A534" t="s">
        <x:v>23</x:v>
      </x:c>
      <x:c r="B534" t="s">
        <x:v>29</x:v>
      </x:c>
      <x:c r="C534" t="s">
        <x:v>45</x:v>
      </x:c>
      <x:c r="D534" s="14">
        <x:v>44782</x:v>
      </x:c>
      <x:c r="E534" s="16">
        <x:v>6930</x:v>
      </x:c>
      <x:c r="F534" s="18">
        <x:v>182</x:v>
      </x:c>
    </x:row>
    <x:row r="535">
      <x:c r="A535" t="s">
        <x:v>9</x:v>
      </x:c>
      <x:c r="B535" t="s">
        <x:v>10</x:v>
      </x:c>
      <x:c r="C535" t="s">
        <x:v>52</x:v>
      </x:c>
      <x:c r="D535" s="14">
        <x:v>44664</x:v>
      </x:c>
      <x:c r="E535" s="16">
        <x:v>5733</x:v>
      </x:c>
      <x:c r="F535" s="18">
        <x:v>114</x:v>
      </x:c>
    </x:row>
    <x:row r="536">
      <x:c r="A536" t="s">
        <x:v>48</x:v>
      </x:c>
      <x:c r="B536" t="s">
        <x:v>26</x:v>
      </x:c>
      <x:c r="C536" t="s">
        <x:v>57</x:v>
      </x:c>
      <x:c r="D536" s="14">
        <x:v>44683</x:v>
      </x:c>
      <x:c r="E536" s="16">
        <x:v>8393</x:v>
      </x:c>
      <x:c r="F536" s="18">
        <x:v>46</x:v>
      </x:c>
    </x:row>
    <x:row r="537">
      <x:c r="A537" t="s">
        <x:v>54</x:v>
      </x:c>
      <x:c r="B537" t="s">
        <x:v>26</x:v>
      </x:c>
      <x:c r="C537" t="s">
        <x:v>18</x:v>
      </x:c>
      <x:c r="D537" s="14">
        <x:v>44782</x:v>
      </x:c>
      <x:c r="E537" s="16">
        <x:v>3822</x:v>
      </x:c>
      <x:c r="F537" s="18">
        <x:v>320</x:v>
      </x:c>
    </x:row>
    <x:row r="538">
      <x:c r="A538" t="s">
        <x:v>50</x:v>
      </x:c>
      <x:c r="B538" t="s">
        <x:v>15</x:v>
      </x:c>
      <x:c r="C538" t="s">
        <x:v>51</x:v>
      </x:c>
      <x:c r="D538" s="14">
        <x:v>44796</x:v>
      </x:c>
      <x:c r="E538" s="16">
        <x:v>6342</x:v>
      </x:c>
      <x:c r="F538" s="18">
        <x:v>178</x:v>
      </x:c>
    </x:row>
    <x:row r="539">
      <x:c r="A539" t="s">
        <x:v>19</x:v>
      </x:c>
      <x:c r="B539" t="s">
        <x:v>10</x:v>
      </x:c>
      <x:c r="C539" t="s">
        <x:v>39</x:v>
      </x:c>
      <x:c r="D539" s="14">
        <x:v>44694</x:v>
      </x:c>
      <x:c r="E539" s="16">
        <x:v>6510</x:v>
      </x:c>
      <x:c r="F539" s="18">
        <x:v>170</x:v>
      </x:c>
    </x:row>
    <x:row r="540">
      <x:c r="A540" t="s">
        <x:v>31</x:v>
      </x:c>
      <x:c r="B540" t="s">
        <x:v>26</x:v>
      </x:c>
      <x:c r="C540" t="s">
        <x:v>45</x:v>
      </x:c>
      <x:c r="D540" s="14">
        <x:v>44593</x:v>
      </x:c>
      <x:c r="E540" s="16">
        <x:v>10171</x:v>
      </x:c>
      <x:c r="F540" s="18">
        <x:v>67</x:v>
      </x:c>
    </x:row>
    <x:row r="541">
      <x:c r="A541" t="s">
        <x:v>50</x:v>
      </x:c>
      <x:c r="B541" t="s">
        <x:v>26</x:v>
      </x:c>
      <x:c r="C541" t="s">
        <x:v>22</x:v>
      </x:c>
      <x:c r="D541" s="14">
        <x:v>44735</x:v>
      </x:c>
      <x:c r="E541" s="16">
        <x:v>5908</x:v>
      </x:c>
      <x:c r="F541" s="18">
        <x:v>301</x:v>
      </x:c>
    </x:row>
    <x:row r="542">
      <x:c r="A542" t="s">
        <x:v>53</x:v>
      </x:c>
      <x:c r="B542" t="s">
        <x:v>7</x:v>
      </x:c>
      <x:c r="C542" t="s">
        <x:v>52</x:v>
      </x:c>
      <x:c r="D542" s="14">
        <x:v>44705</x:v>
      </x:c>
      <x:c r="E542" s="16">
        <x:v>10164</x:v>
      </x:c>
      <x:c r="F542" s="18">
        <x:v>134</x:v>
      </x:c>
    </x:row>
    <x:row r="543">
      <x:c r="A543" t="s">
        <x:v>14</x:v>
      </x:c>
      <x:c r="B543" t="s">
        <x:v>29</x:v>
      </x:c>
      <x:c r="C543" t="s">
        <x:v>8</x:v>
      </x:c>
      <x:c r="D543" s="14">
        <x:v>44652</x:v>
      </x:c>
      <x:c r="E543" s="16">
        <x:v>1064</x:v>
      </x:c>
      <x:c r="F543" s="18">
        <x:v>211</x:v>
      </x:c>
    </x:row>
    <x:row r="544">
      <x:c r="A544" t="s">
        <x:v>50</x:v>
      </x:c>
      <x:c r="B544" t="s">
        <x:v>29</x:v>
      </x:c>
      <x:c r="C544" t="s">
        <x:v>58</x:v>
      </x:c>
      <x:c r="D544" s="14">
        <x:v>44769</x:v>
      </x:c>
      <x:c r="E544" s="16">
        <x:v>9716</x:v>
      </x:c>
      <x:c r="F544" s="18">
        <x:v>151</x:v>
      </x:c>
    </x:row>
    <x:row r="545">
      <x:c r="A545" t="s">
        <x:v>55</x:v>
      </x:c>
      <x:c r="B545" t="s">
        <x:v>10</x:v>
      </x:c>
      <x:c r="C545" t="s">
        <x:v>13</x:v>
      </x:c>
      <x:c r="D545" s="14">
        <x:v>44588</x:v>
      </x:c>
      <x:c r="E545" s="16">
        <x:v>22050</x:v>
      </x:c>
      <x:c r="F545" s="18">
        <x:v>208</x:v>
      </x:c>
    </x:row>
    <x:row r="546">
      <x:c r="A546" t="s">
        <x:v>14</x:v>
      </x:c>
      <x:c r="B546" t="s">
        <x:v>10</x:v>
      </x:c>
      <x:c r="C546" t="s">
        <x:v>52</x:v>
      </x:c>
      <x:c r="D546" s="14">
        <x:v>44785</x:v>
      </x:c>
      <x:c r="E546" s="16">
        <x:v>2541</x:v>
      </x:c>
      <x:c r="F546" s="18">
        <x:v>134</x:v>
      </x:c>
    </x:row>
    <x:row r="547">
      <x:c r="A547" t="s">
        <x:v>12</x:v>
      </x:c>
      <x:c r="B547" t="s">
        <x:v>29</x:v>
      </x:c>
      <x:c r="C547" t="s">
        <x:v>47</x:v>
      </x:c>
      <x:c r="D547" s="14">
        <x:v>44593</x:v>
      </x:c>
      <x:c r="E547" s="16">
        <x:v>9989</x:v>
      </x:c>
      <x:c r="F547" s="18">
        <x:v>49</x:v>
      </x:c>
    </x:row>
    <x:row r="548">
      <x:c r="A548" t="s">
        <x:v>24</x:v>
      </x:c>
      <x:c r="B548" t="s">
        <x:v>10</x:v>
      </x:c>
      <x:c r="C548" t="s">
        <x:v>20</x:v>
      </x:c>
      <x:c r="D548" s="14">
        <x:v>44622</x:v>
      </x:c>
      <x:c r="E548" s="16">
        <x:v>4739</x:v>
      </x:c>
      <x:c r="F548" s="18">
        <x:v>204</x:v>
      </x:c>
    </x:row>
    <x:row r="549">
      <x:c r="A549" t="s">
        <x:v>49</x:v>
      </x:c>
      <x:c r="B549" t="s">
        <x:v>15</x:v>
      </x:c>
      <x:c r="C549" t="s">
        <x:v>18</x:v>
      </x:c>
      <x:c r="D549" s="14">
        <x:v>44742</x:v>
      </x:c>
      <x:c r="E549" s="16">
        <x:v>3185</x:v>
      </x:c>
      <x:c r="F549" s="18">
        <x:v>34</x:v>
      </x:c>
    </x:row>
    <x:row r="550">
      <x:c r="A550" t="s">
        <x:v>54</x:v>
      </x:c>
      <x:c r="B550" t="s">
        <x:v>15</x:v>
      </x:c>
      <x:c r="C550" t="s">
        <x:v>39</x:v>
      </x:c>
      <x:c r="D550" s="14">
        <x:v>44578</x:v>
      </x:c>
      <x:c r="E550" s="16">
        <x:v>8225</x:v>
      </x:c>
      <x:c r="F550" s="18">
        <x:v>91</x:v>
      </x:c>
    </x:row>
    <x:row r="551">
      <x:c r="A551" t="s">
        <x:v>23</x:v>
      </x:c>
      <x:c r="B551" t="s">
        <x:v>26</x:v>
      </x:c>
      <x:c r="C551" t="s">
        <x:v>37</x:v>
      </x:c>
      <x:c r="D551" s="14">
        <x:v>44749</x:v>
      </x:c>
      <x:c r="E551" s="16">
        <x:v>14301</x:v>
      </x:c>
      <x:c r="F551" s="18">
        <x:v>130</x:v>
      </x:c>
    </x:row>
    <x:row r="552">
      <x:c r="A552" t="s">
        <x:v>28</x:v>
      </x:c>
      <x:c r="B552" t="s">
        <x:v>21</x:v>
      </x:c>
      <x:c r="C552" t="s">
        <x:v>8</x:v>
      </x:c>
      <x:c r="D552" s="14">
        <x:v>44592</x:v>
      </x:c>
      <x:c r="E552" s="16">
        <x:v>1316</x:v>
      </x:c>
      <x:c r="F552" s="18">
        <x:v>107</x:v>
      </x:c>
    </x:row>
    <x:row r="553">
      <x:c r="A553" t="s">
        <x:v>34</x:v>
      </x:c>
      <x:c r="B553" t="s">
        <x:v>7</x:v>
      </x:c>
      <x:c r="C553" t="s">
        <x:v>18</x:v>
      </x:c>
      <x:c r="D553" s="14">
        <x:v>44783</x:v>
      </x:c>
      <x:c r="E553" s="16">
        <x:v>3486</x:v>
      </x:c>
      <x:c r="F553" s="18">
        <x:v>121</x:v>
      </x:c>
    </x:row>
    <x:row r="554">
      <x:c r="A554" t="s">
        <x:v>34</x:v>
      </x:c>
      <x:c r="B554" t="s">
        <x:v>26</x:v>
      </x:c>
      <x:c r="C554" t="s">
        <x:v>13</x:v>
      </x:c>
      <x:c r="D554" s="14">
        <x:v>44791</x:v>
      </x:c>
      <x:c r="E554" s="16">
        <x:v>13930</x:v>
      </x:c>
      <x:c r="F554" s="18">
        <x:v>339</x:v>
      </x:c>
    </x:row>
    <x:row r="555">
      <x:c r="A555" t="s">
        <x:v>23</x:v>
      </x:c>
      <x:c r="B555" t="s">
        <x:v>21</x:v>
      </x:c>
      <x:c r="C555" t="s">
        <x:v>44</x:v>
      </x:c>
      <x:c r="D555" s="14">
        <x:v>44727</x:v>
      </x:c>
      <x:c r="E555" s="16">
        <x:v>5509</x:v>
      </x:c>
      <x:c r="F555" s="18">
        <x:v>321</x:v>
      </x:c>
    </x:row>
    <x:row r="556">
      <x:c r="A556" t="s">
        <x:v>33</x:v>
      </x:c>
      <x:c r="B556" t="s">
        <x:v>26</x:v>
      </x:c>
      <x:c r="C556" t="s">
        <x:v>56</x:v>
      </x:c>
      <x:c r="D556" s="14">
        <x:v>44587</x:v>
      </x:c>
      <x:c r="E556" s="16">
        <x:v>8470</x:v>
      </x:c>
      <x:c r="F556" s="18">
        <x:v>9</x:v>
      </x:c>
    </x:row>
    <x:row r="557">
      <x:c r="A557" t="s">
        <x:v>49</x:v>
      </x:c>
      <x:c r="B557" t="s">
        <x:v>26</x:v>
      </x:c>
      <x:c r="C557" t="s">
        <x:v>39</x:v>
      </x:c>
      <x:c r="D557" s="14">
        <x:v>44680</x:v>
      </x:c>
      <x:c r="E557" s="16">
        <x:v>77</x:v>
      </x:c>
      <x:c r="F557" s="18">
        <x:v>69</x:v>
      </x:c>
    </x:row>
    <x:row r="558">
      <x:c r="A558" t="s">
        <x:v>28</x:v>
      </x:c>
      <x:c r="B558" t="s">
        <x:v>29</x:v>
      </x:c>
      <x:c r="C558" t="s">
        <x:v>44</x:v>
      </x:c>
      <x:c r="D558" s="14">
        <x:v>44623</x:v>
      </x:c>
      <x:c r="E558" s="16">
        <x:v>3381</x:v>
      </x:c>
      <x:c r="F558" s="18">
        <x:v>72</x:v>
      </x:c>
    </x:row>
    <x:row r="559">
      <x:c r="A559" t="s">
        <x:v>41</x:v>
      </x:c>
      <x:c r="B559" t="s">
        <x:v>15</x:v>
      </x:c>
      <x:c r="C559" t="s">
        <x:v>47</x:v>
      </x:c>
      <x:c r="D559" s="14">
        <x:v>44614</x:v>
      </x:c>
      <x:c r="E559" s="16">
        <x:v>4102</x:v>
      </x:c>
      <x:c r="F559" s="18">
        <x:v>392</x:v>
      </x:c>
    </x:row>
    <x:row r="560">
      <x:c r="A560" t="s">
        <x:v>17</x:v>
      </x:c>
      <x:c r="B560" t="s">
        <x:v>26</x:v>
      </x:c>
      <x:c r="C560" t="s">
        <x:v>16</x:v>
      </x:c>
      <x:c r="D560" s="14">
        <x:v>44624</x:v>
      </x:c>
      <x:c r="E560" s="16">
        <x:v>3577</x:v>
      </x:c>
      <x:c r="F560" s="18">
        <x:v>158</x:v>
      </x:c>
    </x:row>
    <x:row r="561">
      <x:c r="A561" t="s">
        <x:v>43</x:v>
      </x:c>
      <x:c r="B561" t="s">
        <x:v>10</x:v>
      </x:c>
      <x:c r="C561" t="s">
        <x:v>16</x:v>
      </x:c>
      <x:c r="D561" s="14">
        <x:v>44749</x:v>
      </x:c>
      <x:c r="E561" s="16">
        <x:v>2975</x:v>
      </x:c>
      <x:c r="F561" s="18">
        <x:v>9</x:v>
      </x:c>
    </x:row>
    <x:row r="562">
      <x:c r="A562" t="s">
        <x:v>50</x:v>
      </x:c>
      <x:c r="B562" t="s">
        <x:v>21</x:v>
      </x:c>
      <x:c r="C562" t="s">
        <x:v>57</x:v>
      </x:c>
      <x:c r="D562" s="14">
        <x:v>44729</x:v>
      </x:c>
      <x:c r="E562" s="16">
        <x:v>4137</x:v>
      </x:c>
      <x:c r="F562" s="18">
        <x:v>347</x:v>
      </x:c>
    </x:row>
    <x:row r="563">
      <x:c r="A563" t="s">
        <x:v>14</x:v>
      </x:c>
      <x:c r="B563" t="s">
        <x:v>29</x:v>
      </x:c>
      <x:c r="C563" t="s">
        <x:v>57</x:v>
      </x:c>
      <x:c r="D563" s="14">
        <x:v>44775</x:v>
      </x:c>
      <x:c r="E563" s="16">
        <x:v>9541</x:v>
      </x:c>
      <x:c r="F563" s="18">
        <x:v>114</x:v>
      </x:c>
    </x:row>
    <x:row r="564">
      <x:c r="A564" t="s">
        <x:v>17</x:v>
      </x:c>
      <x:c r="B564" t="s">
        <x:v>26</x:v>
      </x:c>
      <x:c r="C564" t="s">
        <x:v>56</x:v>
      </x:c>
      <x:c r="D564" s="14">
        <x:v>44785</x:v>
      </x:c>
      <x:c r="E564" s="16">
        <x:v>8001</x:v>
      </x:c>
      <x:c r="F564" s="18">
        <x:v>120</x:v>
      </x:c>
    </x:row>
    <x:row r="565">
      <x:c r="A565" t="s">
        <x:v>53</x:v>
      </x:c>
      <x:c r="B565" t="s">
        <x:v>21</x:v>
      </x:c>
      <x:c r="C565" t="s">
        <x:v>13</x:v>
      </x:c>
      <x:c r="D565" s="14">
        <x:v>44589</x:v>
      </x:c>
      <x:c r="E565" s="16">
        <x:v>5152</x:v>
      </x:c>
      <x:c r="F565" s="18">
        <x:v>333</x:v>
      </x:c>
    </x:row>
    <x:row r="566">
      <x:c r="A566" t="s">
        <x:v>49</x:v>
      </x:c>
      <x:c r="B566" t="s">
        <x:v>15</x:v>
      </x:c>
      <x:c r="C566" t="s">
        <x:v>27</x:v>
      </x:c>
      <x:c r="D566" s="14">
        <x:v>44680</x:v>
      </x:c>
      <x:c r="E566" s="16">
        <x:v>11116</x:v>
      </x:c>
      <x:c r="F566" s="18">
        <x:v>432</x:v>
      </x:c>
    </x:row>
    <x:row r="567">
      <x:c r="A567" t="s">
        <x:v>33</x:v>
      </x:c>
      <x:c r="B567" t="s">
        <x:v>15</x:v>
      </x:c>
      <x:c r="C567" t="s">
        <x:v>45</x:v>
      </x:c>
      <x:c r="D567" s="14">
        <x:v>44656</x:v>
      </x:c>
      <x:c r="E567" s="16">
        <x:v>13076</x:v>
      </x:c>
      <x:c r="F567" s="18">
        <x:v>236</x:v>
      </x:c>
    </x:row>
    <x:row r="568">
      <x:c r="A568" t="s">
        <x:v>41</x:v>
      </x:c>
      <x:c r="B568" t="s">
        <x:v>29</x:v>
      </x:c>
      <x:c r="C568" t="s">
        <x:v>45</x:v>
      </x:c>
      <x:c r="D568" s="14">
        <x:v>44579</x:v>
      </x:c>
      <x:c r="E568" s="16">
        <x:v>10213</x:v>
      </x:c>
      <x:c r="F568" s="18">
        <x:v>135</x:v>
      </x:c>
    </x:row>
    <x:row r="569">
      <x:c r="A569" t="s">
        <x:v>6</x:v>
      </x:c>
      <x:c r="B569" t="s">
        <x:v>7</x:v>
      </x:c>
      <x:c r="C569" t="s">
        <x:v>56</x:v>
      </x:c>
      <x:c r="D569" s="14">
        <x:v>44697</x:v>
      </x:c>
      <x:c r="E569" s="16">
        <x:v>2485</x:v>
      </x:c>
      <x:c r="F569" s="18">
        <x:v>97</x:v>
      </x:c>
    </x:row>
    <x:row r="570">
      <x:c r="A570" t="s">
        <x:v>49</x:v>
      </x:c>
      <x:c r="B570" t="s">
        <x:v>15</x:v>
      </x:c>
      <x:c r="C570" t="s">
        <x:v>44</x:v>
      </x:c>
      <x:c r="D570" s="14">
        <x:v>44797</x:v>
      </x:c>
      <x:c r="E570" s="16">
        <x:v>8715</x:v>
      </x:c>
      <x:c r="F570" s="18">
        <x:v>168</x:v>
      </x:c>
    </x:row>
    <x:row r="571">
      <x:c r="A571" t="s">
        <x:v>38</x:v>
      </x:c>
      <x:c r="B571" t="s">
        <x:v>10</x:v>
      </x:c>
      <x:c r="C571" t="s">
        <x:v>11</x:v>
      </x:c>
      <x:c r="D571" s="14">
        <x:v>44579</x:v>
      </x:c>
      <x:c r="E571" s="16">
        <x:v>273</x:v>
      </x:c>
      <x:c r="F571" s="18">
        <x:v>402</x:v>
      </x:c>
    </x:row>
    <x:row r="572">
      <x:c r="A572" t="s">
        <x:v>41</x:v>
      </x:c>
      <x:c r="B572" t="s">
        <x:v>26</x:v>
      </x:c>
      <x:c r="C572" t="s">
        <x:v>30</x:v>
      </x:c>
      <x:c r="D572" s="14">
        <x:v>44795</x:v>
      </x:c>
      <x:c r="E572" s="16">
        <x:v>7623</x:v>
      </x:c>
      <x:c r="F572" s="18">
        <x:v>10</x:v>
      </x:c>
    </x:row>
    <x:row r="573">
      <x:c r="A573" t="s">
        <x:v>19</x:v>
      </x:c>
      <x:c r="B573" t="s">
        <x:v>7</x:v>
      </x:c>
      <x:c r="C573" t="s">
        <x:v>18</x:v>
      </x:c>
      <x:c r="D573" s="14">
        <x:v>44627</x:v>
      </x:c>
      <x:c r="E573" s="16">
        <x:v>7</x:v>
      </x:c>
      <x:c r="F573" s="18">
        <x:v>84</x:v>
      </x:c>
    </x:row>
    <x:row r="574">
      <x:c r="A574" t="s">
        <x:v>34</x:v>
      </x:c>
      <x:c r="B574" t="s">
        <x:v>7</x:v>
      </x:c>
      <x:c r="C574" t="s">
        <x:v>52</x:v>
      </x:c>
      <x:c r="D574" s="14">
        <x:v>44624</x:v>
      </x:c>
      <x:c r="E574" s="16">
        <x:v>3010</x:v>
      </x:c>
      <x:c r="F574" s="18">
        <x:v>69</x:v>
      </x:c>
    </x:row>
    <x:row r="575">
      <x:c r="A575" t="s">
        <x:v>54</x:v>
      </x:c>
      <x:c r="B575" t="s">
        <x:v>29</x:v>
      </x:c>
      <x:c r="C575" t="s">
        <x:v>45</x:v>
      </x:c>
      <x:c r="D575" s="14">
        <x:v>44673</x:v>
      </x:c>
      <x:c r="E575" s="16">
        <x:v>11550</x:v>
      </x:c>
      <x:c r="F575" s="18">
        <x:v>111</x:v>
      </x:c>
    </x:row>
    <x:row r="576">
      <x:c r="A576" t="s">
        <x:v>41</x:v>
      </x:c>
      <x:c r="B576" t="s">
        <x:v>15</x:v>
      </x:c>
      <x:c r="C576" t="s">
        <x:v>37</x:v>
      </x:c>
      <x:c r="D576" s="14">
        <x:v>44721</x:v>
      </x:c>
      <x:c r="E576" s="16">
        <x:v>4046</x:v>
      </x:c>
      <x:c r="F576" s="18">
        <x:v>89</x:v>
      </x:c>
    </x:row>
    <x:row r="577">
      <x:c r="A577" t="s">
        <x:v>14</x:v>
      </x:c>
      <x:c r="B577" t="s">
        <x:v>29</x:v>
      </x:c>
      <x:c r="C577" t="s">
        <x:v>42</x:v>
      </x:c>
      <x:c r="D577" s="14">
        <x:v>44767</x:v>
      </x:c>
      <x:c r="E577" s="16">
        <x:v>8904</x:v>
      </x:c>
      <x:c r="F577" s="18">
        <x:v>199</x:v>
      </x:c>
    </x:row>
    <x:row r="578">
      <x:c r="A578" t="s">
        <x:v>14</x:v>
      </x:c>
      <x:c r="B578" t="s">
        <x:v>10</x:v>
      </x:c>
      <x:c r="C578" t="s">
        <x:v>16</x:v>
      </x:c>
      <x:c r="D578" s="14">
        <x:v>44776</x:v>
      </x:c>
      <x:c r="E578" s="16">
        <x:v>11298</x:v>
      </x:c>
      <x:c r="F578" s="18">
        <x:v>89</x:v>
      </x:c>
    </x:row>
    <x:row r="579">
      <x:c r="A579" t="s">
        <x:v>24</x:v>
      </x:c>
      <x:c r="B579" t="s">
        <x:v>15</x:v>
      </x:c>
      <x:c r="C579" t="s">
        <x:v>45</x:v>
      </x:c>
      <x:c r="D579" s="14">
        <x:v>44776</x:v>
      </x:c>
      <x:c r="E579" s="16">
        <x:v>4396</x:v>
      </x:c>
      <x:c r="F579" s="18">
        <x:v>131</x:v>
      </x:c>
    </x:row>
    <x:row r="580">
      <x:c r="A580" t="s">
        <x:v>6</x:v>
      </x:c>
      <x:c r="B580" t="s">
        <x:v>7</x:v>
      </x:c>
      <x:c r="C580" t="s">
        <x:v>37</x:v>
      </x:c>
      <x:c r="D580" s="14">
        <x:v>44684</x:v>
      </x:c>
      <x:c r="E580" s="16">
        <x:v>12068</x:v>
      </x:c>
      <x:c r="F580" s="18">
        <x:v>227</x:v>
      </x:c>
    </x:row>
    <x:row r="581">
      <x:c r="A581" t="s">
        <x:v>40</x:v>
      </x:c>
      <x:c r="B581" t="s">
        <x:v>29</x:v>
      </x:c>
      <x:c r="C581" t="s">
        <x:v>20</x:v>
      </x:c>
      <x:c r="D581" s="14">
        <x:v>44580</x:v>
      </x:c>
      <x:c r="E581" s="16">
        <x:v>9772</x:v>
      </x:c>
      <x:c r="F581" s="18">
        <x:v>301</x:v>
      </x:c>
    </x:row>
    <x:row r="582">
      <x:c r="A582" t="s">
        <x:v>36</x:v>
      </x:c>
      <x:c r="B582" t="s">
        <x:v>26</x:v>
      </x:c>
      <x:c r="C582" t="s">
        <x:v>22</x:v>
      </x:c>
      <x:c r="D582" s="14">
        <x:v>44603</x:v>
      </x:c>
      <x:c r="E582" s="16">
        <x:v>10458</x:v>
      </x:c>
      <x:c r="F582" s="18">
        <x:v>316</x:v>
      </x:c>
    </x:row>
    <x:row r="583">
      <x:c r="A583" t="s">
        <x:v>9</x:v>
      </x:c>
      <x:c r="B583" t="s">
        <x:v>10</x:v>
      </x:c>
      <x:c r="C583" t="s">
        <x:v>47</x:v>
      </x:c>
      <x:c r="D583" s="14">
        <x:v>44726</x:v>
      </x:c>
      <x:c r="E583" s="16">
        <x:v>6426</x:v>
      </x:c>
      <x:c r="F583" s="18">
        <x:v>390</x:v>
      </x:c>
    </x:row>
    <x:row r="584">
      <x:c r="A584" t="s">
        <x:v>49</x:v>
      </x:c>
      <x:c r="B584" t="s">
        <x:v>26</x:v>
      </x:c>
      <x:c r="C584" t="s">
        <x:v>22</x:v>
      </x:c>
      <x:c r="D584" s="14">
        <x:v>44643</x:v>
      </x:c>
      <x:c r="E584" s="16">
        <x:v>6188</x:v>
      </x:c>
      <x:c r="F584" s="18">
        <x:v>223</x:v>
      </x:c>
    </x:row>
    <x:row r="585">
      <x:c r="A585" t="s">
        <x:v>53</x:v>
      </x:c>
      <x:c r="B585" t="s">
        <x:v>29</x:v>
      </x:c>
      <x:c r="C585" t="s">
        <x:v>11</x:v>
      </x:c>
      <x:c r="D585" s="14">
        <x:v>44609</x:v>
      </x:c>
      <x:c r="E585" s="16">
        <x:v>7504</x:v>
      </x:c>
      <x:c r="F585" s="18">
        <x:v>101</x:v>
      </x:c>
    </x:row>
    <x:row r="586">
      <x:c r="A586" t="s">
        <x:v>43</x:v>
      </x:c>
      <x:c r="B586" t="s">
        <x:v>29</x:v>
      </x:c>
      <x:c r="C586" t="s">
        <x:v>16</x:v>
      </x:c>
      <x:c r="D586" s="14">
        <x:v>44637</x:v>
      </x:c>
      <x:c r="E586" s="16">
        <x:v>1750</x:v>
      </x:c>
      <x:c r="F586" s="18">
        <x:v>479</x:v>
      </x:c>
    </x:row>
    <x:row r="587">
      <x:c r="A587" t="s">
        <x:v>28</x:v>
      </x:c>
      <x:c r="B587" t="s">
        <x:v>15</x:v>
      </x:c>
      <x:c r="C587" t="s">
        <x:v>39</x:v>
      </x:c>
      <x:c r="D587" s="14">
        <x:v>44741</x:v>
      </x:c>
      <x:c r="E587" s="16">
        <x:v>5439</x:v>
      </x:c>
      <x:c r="F587" s="18">
        <x:v>287</x:v>
      </x:c>
    </x:row>
    <x:row r="588">
      <x:c r="A588" t="s">
        <x:v>55</x:v>
      </x:c>
      <x:c r="B588" t="s">
        <x:v>29</x:v>
      </x:c>
      <x:c r="C588" t="s">
        <x:v>52</x:v>
      </x:c>
      <x:c r="D588" s="14">
        <x:v>44797</x:v>
      </x:c>
      <x:c r="E588" s="16">
        <x:v>15547</x:v>
      </x:c>
      <x:c r="F588" s="18">
        <x:v>269</x:v>
      </x:c>
    </x:row>
    <x:row r="589">
      <x:c r="A589" t="s">
        <x:v>12</x:v>
      </x:c>
      <x:c r="B589" t="s">
        <x:v>29</x:v>
      </x:c>
      <x:c r="C589" t="s">
        <x:v>39</x:v>
      </x:c>
      <x:c r="D589" s="14">
        <x:v>44746</x:v>
      </x:c>
      <x:c r="E589" s="16">
        <x:v>11956</x:v>
      </x:c>
      <x:c r="F589" s="18">
        <x:v>277</x:v>
      </x:c>
    </x:row>
    <x:row r="590">
      <x:c r="A590" t="s">
        <x:v>36</x:v>
      </x:c>
      <x:c r="B590" t="s">
        <x:v>21</x:v>
      </x:c>
      <x:c r="C590" t="s">
        <x:v>47</x:v>
      </x:c>
      <x:c r="D590" s="14">
        <x:v>44648</x:v>
      </x:c>
      <x:c r="E590" s="16">
        <x:v>2723</x:v>
      </x:c>
      <x:c r="F590" s="18">
        <x:v>67</x:v>
      </x:c>
    </x:row>
    <x:row r="591">
      <x:c r="A591" t="s">
        <x:v>38</x:v>
      </x:c>
      <x:c r="B591" t="s">
        <x:v>10</x:v>
      </x:c>
      <x:c r="C591" t="s">
        <x:v>16</x:v>
      </x:c>
      <x:c r="D591" s="14">
        <x:v>44670</x:v>
      </x:c>
      <x:c r="E591" s="16">
        <x:v>19327</x:v>
      </x:c>
      <x:c r="F591" s="18">
        <x:v>135</x:v>
      </x:c>
    </x:row>
    <x:row r="592">
      <x:c r="A592" t="s">
        <x:v>55</x:v>
      </x:c>
      <x:c r="B592" t="s">
        <x:v>21</x:v>
      </x:c>
      <x:c r="C592" t="s">
        <x:v>8</x:v>
      </x:c>
      <x:c r="D592" s="14">
        <x:v>44579</x:v>
      </x:c>
      <x:c r="E592" s="16">
        <x:v>9058</x:v>
      </x:c>
      <x:c r="F592" s="18">
        <x:v>229</x:v>
      </x:c>
    </x:row>
    <x:row r="593">
      <x:c r="A593" t="s">
        <x:v>9</x:v>
      </x:c>
      <x:c r="B593" t="s">
        <x:v>21</x:v>
      </x:c>
      <x:c r="C593" t="s">
        <x:v>42</x:v>
      </x:c>
      <x:c r="D593" s="14">
        <x:v>44578</x:v>
      </x:c>
      <x:c r="E593" s="16">
        <x:v>2996</x:v>
      </x:c>
      <x:c r="F593" s="18">
        <x:v>88</x:v>
      </x:c>
    </x:row>
    <x:row r="594">
      <x:c r="A594" t="s">
        <x:v>48</x:v>
      </x:c>
      <x:c r="B594" t="s">
        <x:v>21</x:v>
      </x:c>
      <x:c r="C594" t="s">
        <x:v>8</x:v>
      </x:c>
      <x:c r="D594" s="14">
        <x:v>44607</x:v>
      </x:c>
      <x:c r="E594" s="16">
        <x:v>8848</x:v>
      </x:c>
      <x:c r="F594" s="18">
        <x:v>211</x:v>
      </x:c>
    </x:row>
    <x:row r="595">
      <x:c r="A595" t="s">
        <x:v>48</x:v>
      </x:c>
      <x:c r="B595" t="s">
        <x:v>7</x:v>
      </x:c>
      <x:c r="C595" t="s">
        <x:v>37</x:v>
      </x:c>
      <x:c r="D595" s="14">
        <x:v>44603</x:v>
      </x:c>
      <x:c r="E595" s="16">
        <x:v>14336</x:v>
      </x:c>
      <x:c r="F595" s="18">
        <x:v>293</x:v>
      </x:c>
    </x:row>
    <x:row r="596">
      <x:c r="A596" t="s">
        <x:v>50</x:v>
      </x:c>
      <x:c r="B596" t="s">
        <x:v>26</x:v>
      </x:c>
      <x:c r="C596" t="s">
        <x:v>45</x:v>
      </x:c>
      <x:c r="D596" s="14">
        <x:v>44641</x:v>
      </x:c>
      <x:c r="E596" s="16">
        <x:v>16401</x:v>
      </x:c>
      <x:c r="F596" s="18">
        <x:v>179</x:v>
      </x:c>
    </x:row>
    <x:row r="597">
      <x:c r="A597" t="s">
        <x:v>19</x:v>
      </x:c>
      <x:c r="B597" t="s">
        <x:v>21</x:v>
      </x:c>
      <x:c r="C597" t="s">
        <x:v>47</x:v>
      </x:c>
      <x:c r="D597" s="14">
        <x:v>44566</x:v>
      </x:c>
      <x:c r="E597" s="16">
        <x:v>5173</x:v>
      </x:c>
      <x:c r="F597" s="18">
        <x:v>129</x:v>
      </x:c>
    </x:row>
    <x:row r="598">
      <x:c r="A598" t="s">
        <x:v>23</x:v>
      </x:c>
      <x:c r="B598" t="s">
        <x:v>10</x:v>
      </x:c>
      <x:c r="C598" t="s">
        <x:v>51</x:v>
      </x:c>
      <x:c r="D598" s="14">
        <x:v>44711</x:v>
      </x:c>
      <x:c r="E598" s="16">
        <x:v>6328</x:v>
      </x:c>
      <x:c r="F598" s="18">
        <x:v>164</x:v>
      </x:c>
    </x:row>
    <x:row r="599">
      <x:c r="A599" t="s">
        <x:v>6</x:v>
      </x:c>
      <x:c r="B599" t="s">
        <x:v>26</x:v>
      </x:c>
      <x:c r="C599" t="s">
        <x:v>18</x:v>
      </x:c>
      <x:c r="D599" s="14">
        <x:v>44565</x:v>
      </x:c>
      <x:c r="E599" s="16">
        <x:v>2534</x:v>
      </x:c>
      <x:c r="F599" s="18">
        <x:v>219</x:v>
      </x:c>
    </x:row>
    <x:row r="600">
      <x:c r="A600" t="s">
        <x:v>34</x:v>
      </x:c>
      <x:c r="B600" t="s">
        <x:v>15</x:v>
      </x:c>
      <x:c r="C600" t="s">
        <x:v>42</x:v>
      </x:c>
      <x:c r="D600" s="14">
        <x:v>44673</x:v>
      </x:c>
      <x:c r="E600" s="16">
        <x:v>1435</x:v>
      </x:c>
      <x:c r="F600" s="18">
        <x:v>258</x:v>
      </x:c>
    </x:row>
    <x:row r="601">
      <x:c r="A601" t="s">
        <x:v>12</x:v>
      </x:c>
      <x:c r="B601" t="s">
        <x:v>29</x:v>
      </x:c>
      <x:c r="C601" t="s">
        <x:v>37</x:v>
      </x:c>
      <x:c r="D601" s="14">
        <x:v>44602</x:v>
      </x:c>
      <x:c r="E601" s="16">
        <x:v>3052</x:v>
      </x:c>
      <x:c r="F601" s="18">
        <x:v>116</x:v>
      </x:c>
    </x:row>
    <x:row r="602">
      <x:c r="A602" t="s">
        <x:v>54</x:v>
      </x:c>
      <x:c r="B602" t="s">
        <x:v>10</x:v>
      </x:c>
      <x:c r="C602" t="s">
        <x:v>39</x:v>
      </x:c>
      <x:c r="D602" s="14">
        <x:v>44785</x:v>
      </x:c>
      <x:c r="E602" s="16">
        <x:v>910</x:v>
      </x:c>
      <x:c r="F602" s="18">
        <x:v>204</x:v>
      </x:c>
    </x:row>
    <x:row r="603">
      <x:c r="A603" t="s">
        <x:v>19</x:v>
      </x:c>
      <x:c r="B603" t="s">
        <x:v>26</x:v>
      </x:c>
      <x:c r="C603" t="s">
        <x:v>35</x:v>
      </x:c>
      <x:c r="D603" s="14">
        <x:v>44783</x:v>
      </x:c>
      <x:c r="E603" s="16">
        <x:v>2331</x:v>
      </x:c>
      <x:c r="F603" s="18">
        <x:v>321</x:v>
      </x:c>
    </x:row>
    <x:row r="604">
      <x:c r="A604" t="s">
        <x:v>49</x:v>
      </x:c>
      <x:c r="B604" t="s">
        <x:v>15</x:v>
      </x:c>
      <x:c r="C604" t="s">
        <x:v>51</x:v>
      </x:c>
      <x:c r="D604" s="14">
        <x:v>44719</x:v>
      </x:c>
      <x:c r="E604" s="16">
        <x:v>679</x:v>
      </x:c>
      <x:c r="F604" s="18">
        <x:v>56</x:v>
      </x:c>
    </x:row>
    <x:row r="605">
      <x:c r="A605" t="s">
        <x:v>6</x:v>
      </x:c>
      <x:c r="B605" t="s">
        <x:v>10</x:v>
      </x:c>
      <x:c r="C605" t="s">
        <x:v>56</x:v>
      </x:c>
      <x:c r="D605" s="14">
        <x:v>44718</x:v>
      </x:c>
      <x:c r="E605" s="16">
        <x:v>2086</x:v>
      </x:c>
      <x:c r="F605" s="18">
        <x:v>74</x:v>
      </x:c>
    </x:row>
    <x:row r="606">
      <x:c r="A606" t="s">
        <x:v>31</x:v>
      </x:c>
      <x:c r="B606" t="s">
        <x:v>21</x:v>
      </x:c>
      <x:c r="C606" t="s">
        <x:v>56</x:v>
      </x:c>
      <x:c r="D606" s="14">
        <x:v>44656</x:v>
      </x:c>
      <x:c r="E606" s="16">
        <x:v>5012</x:v>
      </x:c>
      <x:c r="F606" s="18">
        <x:v>189</x:v>
      </x:c>
    </x:row>
    <x:row r="607">
      <x:c r="A607" t="s">
        <x:v>46</x:v>
      </x:c>
      <x:c r="B607" t="s">
        <x:v>26</x:v>
      </x:c>
      <x:c r="C607" t="s">
        <x:v>22</x:v>
      </x:c>
      <x:c r="D607" s="14">
        <x:v>44669</x:v>
      </x:c>
      <x:c r="E607" s="16">
        <x:v>4501</x:v>
      </x:c>
      <x:c r="F607" s="18">
        <x:v>131</x:v>
      </x:c>
    </x:row>
    <x:row r="608">
      <x:c r="A608" t="s">
        <x:v>48</x:v>
      </x:c>
      <x:c r="B608" t="s">
        <x:v>10</x:v>
      </x:c>
      <x:c r="C608" t="s">
        <x:v>22</x:v>
      </x:c>
      <x:c r="D608" s="14">
        <x:v>44592</x:v>
      </x:c>
      <x:c r="E608" s="16">
        <x:v>13482</x:v>
      </x:c>
      <x:c r="F608" s="18">
        <x:v>15</x:v>
      </x:c>
    </x:row>
    <x:row r="609">
      <x:c r="A609" t="s">
        <x:v>53</x:v>
      </x:c>
      <x:c r="B609" t="s">
        <x:v>26</x:v>
      </x:c>
      <x:c r="C609" t="s">
        <x:v>56</x:v>
      </x:c>
      <x:c r="D609" s="14">
        <x:v>44795</x:v>
      </x:c>
      <x:c r="E609" s="16">
        <x:v>5621</x:v>
      </x:c>
      <x:c r="F609" s="18">
        <x:v>140</x:v>
      </x:c>
    </x:row>
    <x:row r="610">
      <x:c r="A610" t="s">
        <x:v>6</x:v>
      </x:c>
      <x:c r="B610" t="s">
        <x:v>15</x:v>
      </x:c>
      <x:c r="C610" t="s">
        <x:v>18</x:v>
      </x:c>
      <x:c r="D610" s="14">
        <x:v>44617</x:v>
      </x:c>
      <x:c r="E610" s="16">
        <x:v>10486</x:v>
      </x:c>
      <x:c r="F610" s="18">
        <x:v>198</x:v>
      </x:c>
    </x:row>
    <x:row r="611">
      <x:c r="A611" t="s">
        <x:v>14</x:v>
      </x:c>
      <x:c r="B611" t="s">
        <x:v>15</x:v>
      </x:c>
      <x:c r="C611" t="s">
        <x:v>8</x:v>
      </x:c>
      <x:c r="D611" s="14">
        <x:v>44614</x:v>
      </x:c>
      <x:c r="E611" s="16">
        <x:v>17626</x:v>
      </x:c>
      <x:c r="F611" s="18">
        <x:v>103</x:v>
      </x:c>
    </x:row>
    <x:row r="612">
      <x:c r="A612" t="s">
        <x:v>17</x:v>
      </x:c>
      <x:c r="B612" t="s">
        <x:v>21</x:v>
      </x:c>
      <x:c r="C612" t="s">
        <x:v>37</x:v>
      </x:c>
      <x:c r="D612" s="14">
        <x:v>44573</x:v>
      </x:c>
      <x:c r="E612" s="16">
        <x:v>4494</x:v>
      </x:c>
      <x:c r="F612" s="18">
        <x:v>187</x:v>
      </x:c>
    </x:row>
    <x:row r="613">
      <x:c r="A613" t="s">
        <x:v>23</x:v>
      </x:c>
      <x:c r="B613" t="s">
        <x:v>7</x:v>
      </x:c>
      <x:c r="C613" t="s">
        <x:v>47</x:v>
      </x:c>
      <x:c r="D613" s="14">
        <x:v>44706</x:v>
      </x:c>
      <x:c r="E613" s="16">
        <x:v>105</x:v>
      </x:c>
      <x:c r="F613" s="18">
        <x:v>125</x:v>
      </x:c>
    </x:row>
    <x:row r="614">
      <x:c r="A614" t="s">
        <x:v>49</x:v>
      </x:c>
      <x:c r="B614" t="s">
        <x:v>10</x:v>
      </x:c>
      <x:c r="C614" t="s">
        <x:v>16</x:v>
      </x:c>
      <x:c r="D614" s="14">
        <x:v>44593</x:v>
      </x:c>
      <x:c r="E614" s="16">
        <x:v>2464</x:v>
      </x:c>
      <x:c r="F614" s="18">
        <x:v>8</x:v>
      </x:c>
    </x:row>
    <x:row r="615">
      <x:c r="A615" t="s">
        <x:v>24</x:v>
      </x:c>
      <x:c r="B615" t="s">
        <x:v>7</x:v>
      </x:c>
      <x:c r="C615" t="s">
        <x:v>30</x:v>
      </x:c>
      <x:c r="D615" s="14">
        <x:v>44678</x:v>
      </x:c>
      <x:c r="E615" s="16">
        <x:v>1379</x:v>
      </x:c>
      <x:c r="F615" s="18">
        <x:v>70</x:v>
      </x:c>
    </x:row>
    <x:row r="616">
      <x:c r="A616" t="s">
        <x:v>12</x:v>
      </x:c>
      <x:c r="B616" t="s">
        <x:v>26</x:v>
      </x:c>
      <x:c r="C616" t="s">
        <x:v>16</x:v>
      </x:c>
      <x:c r="D616" s="14">
        <x:v>44764</x:v>
      </x:c>
      <x:c r="E616" s="16">
        <x:v>2583</x:v>
      </x:c>
      <x:c r="F616" s="18">
        <x:v>126</x:v>
      </x:c>
    </x:row>
    <x:row r="617">
      <x:c r="A617" t="s">
        <x:v>38</x:v>
      </x:c>
      <x:c r="B617" t="s">
        <x:v>21</x:v>
      </x:c>
      <x:c r="C617" t="s">
        <x:v>8</x:v>
      </x:c>
      <x:c r="D617" s="14">
        <x:v>44587</x:v>
      </x:c>
      <x:c r="E617" s="16">
        <x:v>3220</x:v>
      </x:c>
      <x:c r="F617" s="18">
        <x:v>265</x:v>
      </x:c>
    </x:row>
    <x:row r="618">
      <x:c r="A618" t="s">
        <x:v>38</x:v>
      </x:c>
      <x:c r="B618" t="s">
        <x:v>26</x:v>
      </x:c>
      <x:c r="C618" t="s">
        <x:v>8</x:v>
      </x:c>
      <x:c r="D618" s="14">
        <x:v>44797</x:v>
      </x:c>
      <x:c r="E618" s="16">
        <x:v>4802</x:v>
      </x:c>
      <x:c r="F618" s="18">
        <x:v>296</x:v>
      </x:c>
    </x:row>
    <x:row r="619">
      <x:c r="A619" t="s">
        <x:v>53</x:v>
      </x:c>
      <x:c r="B619" t="s">
        <x:v>21</x:v>
      </x:c>
      <x:c r="C619" t="s">
        <x:v>42</x:v>
      </x:c>
      <x:c r="D619" s="14">
        <x:v>44579</x:v>
      </x:c>
      <x:c r="E619" s="16">
        <x:v>5677</x:v>
      </x:c>
      <x:c r="F619" s="18">
        <x:v>21</x:v>
      </x:c>
    </x:row>
    <x:row r="620">
      <x:c r="A620" t="s">
        <x:v>31</x:v>
      </x:c>
      <x:c r="B620" t="s">
        <x:v>10</x:v>
      </x:c>
      <x:c r="C620" t="s">
        <x:v>11</x:v>
      </x:c>
      <x:c r="D620" s="14">
        <x:v>44650</x:v>
      </x:c>
      <x:c r="E620" s="16">
        <x:v>945</x:v>
      </x:c>
      <x:c r="F620" s="18">
        <x:v>83</x:v>
      </x:c>
    </x:row>
    <x:row r="621">
      <x:c r="A621" t="s">
        <x:v>55</x:v>
      </x:c>
      <x:c r="B621" t="s">
        <x:v>15</x:v>
      </x:c>
      <x:c r="C621" t="s">
        <x:v>57</x:v>
      </x:c>
      <x:c r="D621" s="14">
        <x:v>44578</x:v>
      </x:c>
      <x:c r="E621" s="16">
        <x:v>8757</x:v>
      </x:c>
      <x:c r="F621" s="18">
        <x:v>162</x:v>
      </x:c>
    </x:row>
    <x:row r="622">
      <x:c r="A622" t="s">
        <x:v>49</x:v>
      </x:c>
      <x:c r="B622" t="s">
        <x:v>26</x:v>
      </x:c>
      <x:c r="C622" t="s">
        <x:v>42</x:v>
      </x:c>
      <x:c r="D622" s="14">
        <x:v>44609</x:v>
      </x:c>
      <x:c r="E622" s="16">
        <x:v>4816</x:v>
      </x:c>
      <x:c r="F622" s="18">
        <x:v>145</x:v>
      </x:c>
    </x:row>
    <x:row r="623">
      <x:c r="A623" t="s">
        <x:v>49</x:v>
      </x:c>
      <x:c r="B623" t="s">
        <x:v>29</x:v>
      </x:c>
      <x:c r="C623" t="s">
        <x:v>13</x:v>
      </x:c>
      <x:c r="D623" s="14">
        <x:v>44659</x:v>
      </x:c>
      <x:c r="E623" s="16">
        <x:v>7532</x:v>
      </x:c>
      <x:c r="F623" s="18">
        <x:v>44</x:v>
      </x:c>
    </x:row>
    <x:row r="624">
      <x:c r="A624" t="s">
        <x:v>12</x:v>
      </x:c>
      <x:c r="B624" t="s">
        <x:v>29</x:v>
      </x:c>
      <x:c r="C624" t="s">
        <x:v>32</x:v>
      </x:c>
      <x:c r="D624" s="14">
        <x:v>44748</x:v>
      </x:c>
      <x:c r="E624" s="16">
        <x:v>3549</x:v>
      </x:c>
      <x:c r="F624" s="18">
        <x:v>82</x:v>
      </x:c>
    </x:row>
    <x:row r="625">
      <x:c r="A625" t="s">
        <x:v>40</x:v>
      </x:c>
      <x:c r="B625" t="s">
        <x:v>10</x:v>
      </x:c>
      <x:c r="C625" t="s">
        <x:v>42</x:v>
      </x:c>
      <x:c r="D625" s="14">
        <x:v>44655</x:v>
      </x:c>
      <x:c r="E625" s="16">
        <x:v>4340</x:v>
      </x:c>
      <x:c r="F625" s="18">
        <x:v>226</x:v>
      </x:c>
    </x:row>
    <x:row r="626">
      <x:c r="A626" t="s">
        <x:v>14</x:v>
      </x:c>
      <x:c r="B626" t="s">
        <x:v>21</x:v>
      </x:c>
      <x:c r="C626" t="s">
        <x:v>35</x:v>
      </x:c>
      <x:c r="D626" s="14">
        <x:v>44622</x:v>
      </x:c>
      <x:c r="E626" s="16">
        <x:v>1799</x:v>
      </x:c>
      <x:c r="F626" s="18">
        <x:v>207</x:v>
      </x:c>
    </x:row>
    <x:row r="627">
      <x:c r="A627" t="s">
        <x:v>12</x:v>
      </x:c>
      <x:c r="B627" t="s">
        <x:v>21</x:v>
      </x:c>
      <x:c r="C627" t="s">
        <x:v>51</x:v>
      </x:c>
      <x:c r="D627" s="14">
        <x:v>44782</x:v>
      </x:c>
      <x:c r="E627" s="16">
        <x:v>1127</x:v>
      </x:c>
      <x:c r="F627" s="18">
        <x:v>176</x:v>
      </x:c>
    </x:row>
    <x:row r="628">
      <x:c r="A628" t="s">
        <x:v>43</x:v>
      </x:c>
      <x:c r="B628" t="s">
        <x:v>15</x:v>
      </x:c>
      <x:c r="C628" t="s">
        <x:v>37</x:v>
      </x:c>
      <x:c r="D628" s="14">
        <x:v>44721</x:v>
      </x:c>
      <x:c r="E628" s="16">
        <x:v>10038</x:v>
      </x:c>
      <x:c r="F628" s="18">
        <x:v>286</x:v>
      </x:c>
    </x:row>
    <x:row r="629">
      <x:c r="A629" t="s">
        <x:v>55</x:v>
      </x:c>
      <x:c r="B629" t="s">
        <x:v>7</x:v>
      </x:c>
      <x:c r="C629" t="s">
        <x:v>57</x:v>
      </x:c>
      <x:c r="D629" s="14">
        <x:v>44714</x:v>
      </x:c>
      <x:c r="E629" s="16">
        <x:v>2926</x:v>
      </x:c>
      <x:c r="F629" s="18">
        <x:v>300</x:v>
      </x:c>
    </x:row>
    <x:row r="630">
      <x:c r="A630" t="s">
        <x:v>9</x:v>
      </x:c>
      <x:c r="B630" t="s">
        <x:v>26</x:v>
      </x:c>
      <x:c r="C630" t="s">
        <x:v>42</x:v>
      </x:c>
      <x:c r="D630" s="14">
        <x:v>44747</x:v>
      </x:c>
      <x:c r="E630" s="16">
        <x:v>6279</x:v>
      </x:c>
      <x:c r="F630" s="18">
        <x:v>235</x:v>
      </x:c>
    </x:row>
    <x:row r="631">
      <x:c r="A631" t="s">
        <x:v>48</x:v>
      </x:c>
      <x:c r="B631" t="s">
        <x:v>29</x:v>
      </x:c>
      <x:c r="C631" t="s">
        <x:v>30</x:v>
      </x:c>
      <x:c r="D631" s="14">
        <x:v>44784</x:v>
      </x:c>
      <x:c r="E631" s="16">
        <x:v>308</x:v>
      </x:c>
      <x:c r="F631" s="18">
        <x:v>125</x:v>
      </x:c>
    </x:row>
    <x:row r="632">
      <x:c r="A632" t="s">
        <x:v>53</x:v>
      </x:c>
      <x:c r="B632" t="s">
        <x:v>10</x:v>
      </x:c>
      <x:c r="C632" t="s">
        <x:v>52</x:v>
      </x:c>
      <x:c r="D632" s="14">
        <x:v>44603</x:v>
      </x:c>
      <x:c r="E632" s="16">
        <x:v>3500</x:v>
      </x:c>
      <x:c r="F632" s="18">
        <x:v>145</x:v>
      </x:c>
    </x:row>
    <x:row r="633">
      <x:c r="A633" t="s">
        <x:v>49</x:v>
      </x:c>
      <x:c r="B633" t="s">
        <x:v>21</x:v>
      </x:c>
      <x:c r="C633" t="s">
        <x:v>39</x:v>
      </x:c>
      <x:c r="D633" s="14">
        <x:v>44784</x:v>
      </x:c>
      <x:c r="E633" s="16">
        <x:v>658</x:v>
      </x:c>
      <x:c r="F633" s="18">
        <x:v>65</x:v>
      </x:c>
    </x:row>
    <x:row r="634">
      <x:c r="A634" t="s">
        <x:v>36</x:v>
      </x:c>
      <x:c r="B634" t="s">
        <x:v>15</x:v>
      </x:c>
      <x:c r="C634" t="s">
        <x:v>32</x:v>
      </x:c>
      <x:c r="D634" s="14">
        <x:v>44693</x:v>
      </x:c>
      <x:c r="E634" s="16">
        <x:v>12565</x:v>
      </x:c>
      <x:c r="F634" s="18">
        <x:v>102</x:v>
      </x:c>
    </x:row>
    <x:row r="635">
      <x:c r="A635" t="s">
        <x:v>46</x:v>
      </x:c>
      <x:c r="B635" t="s">
        <x:v>26</x:v>
      </x:c>
      <x:c r="C635" t="s">
        <x:v>37</x:v>
      </x:c>
      <x:c r="D635" s="14">
        <x:v>44757</x:v>
      </x:c>
      <x:c r="E635" s="16">
        <x:v>5012</x:v>
      </x:c>
      <x:c r="F635" s="18">
        <x:v>93</x:v>
      </x:c>
    </x:row>
    <x:row r="636">
      <x:c r="A636" t="s">
        <x:v>48</x:v>
      </x:c>
      <x:c r="B636" t="s">
        <x:v>10</x:v>
      </x:c>
      <x:c r="C636" t="s">
        <x:v>35</x:v>
      </x:c>
      <x:c r="D636" s="14">
        <x:v>44579</x:v>
      </x:c>
      <x:c r="E636" s="16">
        <x:v>3955</x:v>
      </x:c>
      <x:c r="F636" s="18">
        <x:v>134</x:v>
      </x:c>
    </x:row>
    <x:row r="637">
      <x:c r="A637" t="s">
        <x:v>53</x:v>
      </x:c>
      <x:c r="B637" t="s">
        <x:v>7</x:v>
      </x:c>
      <x:c r="C637" t="s">
        <x:v>42</x:v>
      </x:c>
      <x:c r="D637" s="14">
        <x:v>44566</x:v>
      </x:c>
      <x:c r="E637" s="16">
        <x:v>8512</x:v>
      </x:c>
      <x:c r="F637" s="18">
        <x:v>189</x:v>
      </x:c>
    </x:row>
    <x:row r="638">
      <x:c r="A638" t="s">
        <x:v>38</x:v>
      </x:c>
      <x:c r="B638" t="s">
        <x:v>15</x:v>
      </x:c>
      <x:c r="C638" t="s">
        <x:v>22</x:v>
      </x:c>
      <x:c r="D638" s="14">
        <x:v>44741</x:v>
      </x:c>
      <x:c r="E638" s="16">
        <x:v>504</x:v>
      </x:c>
      <x:c r="F638" s="18">
        <x:v>232</x:v>
      </x:c>
    </x:row>
    <x:row r="639">
      <x:c r="A639" t="s">
        <x:v>23</x:v>
      </x:c>
      <x:c r="B639" t="s">
        <x:v>29</x:v>
      </x:c>
      <x:c r="C639" t="s">
        <x:v>51</x:v>
      </x:c>
      <x:c r="D639" s="14">
        <x:v>44726</x:v>
      </x:c>
      <x:c r="E639" s="16">
        <x:v>2800</x:v>
      </x:c>
      <x:c r="F639" s="18">
        <x:v>45</x:v>
      </x:c>
    </x:row>
    <x:row r="640">
      <x:c r="A640" t="s">
        <x:v>19</x:v>
      </x:c>
      <x:c r="B640" t="s">
        <x:v>10</x:v>
      </x:c>
      <x:c r="C640" t="s">
        <x:v>8</x:v>
      </x:c>
      <x:c r="D640" s="14">
        <x:v>44781</x:v>
      </x:c>
      <x:c r="E640" s="16">
        <x:v>4256</x:v>
      </x:c>
      <x:c r="F640" s="18">
        <x:v>67</x:v>
      </x:c>
    </x:row>
    <x:row r="641">
      <x:c r="A641" t="s">
        <x:v>43</x:v>
      </x:c>
      <x:c r="B641" t="s">
        <x:v>10</x:v>
      </x:c>
      <x:c r="C641" t="s">
        <x:v>8</x:v>
      </x:c>
      <x:c r="D641" s="14">
        <x:v>44643</x:v>
      </x:c>
      <x:c r="E641" s="16">
        <x:v>13573</x:v>
      </x:c>
      <x:c r="F641" s="18">
        <x:v>138</x:v>
      </x:c>
    </x:row>
    <x:row r="642">
      <x:c r="A642" t="s">
        <x:v>25</x:v>
      </x:c>
      <x:c r="B642" t="s">
        <x:v>10</x:v>
      </x:c>
      <x:c r="C642" t="s">
        <x:v>57</x:v>
      </x:c>
      <x:c r="D642" s="14">
        <x:v>44565</x:v>
      </x:c>
      <x:c r="E642" s="16">
        <x:v>6566</x:v>
      </x:c>
      <x:c r="F642" s="18">
        <x:v>99</x:v>
      </x:c>
    </x:row>
    <x:row r="643">
      <x:c r="A643" t="s">
        <x:v>23</x:v>
      </x:c>
      <x:c r="B643" t="s">
        <x:v>10</x:v>
      </x:c>
      <x:c r="C643" t="s">
        <x:v>37</x:v>
      </x:c>
      <x:c r="D643" s="14">
        <x:v>44614</x:v>
      </x:c>
      <x:c r="E643" s="16">
        <x:v>13503</x:v>
      </x:c>
      <x:c r="F643" s="18">
        <x:v>251</x:v>
      </x:c>
    </x:row>
    <x:row r="644">
      <x:c r="A644" t="s">
        <x:v>34</x:v>
      </x:c>
      <x:c r="B644" t="s">
        <x:v>7</x:v>
      </x:c>
      <x:c r="C644" t="s">
        <x:v>39</x:v>
      </x:c>
      <x:c r="D644" s="14">
        <x:v>44609</x:v>
      </x:c>
      <x:c r="E644" s="16">
        <x:v>8680</x:v>
      </x:c>
      <x:c r="F644" s="18">
        <x:v>252</x:v>
      </x:c>
    </x:row>
    <x:row r="645">
      <x:c r="A645" t="s">
        <x:v>25</x:v>
      </x:c>
      <x:c r="B645" t="s">
        <x:v>26</x:v>
      </x:c>
      <x:c r="C645" t="s">
        <x:v>47</x:v>
      </x:c>
      <x:c r="D645" s="14">
        <x:v>44595</x:v>
      </x:c>
      <x:c r="E645" s="16">
        <x:v>385</x:v>
      </x:c>
      <x:c r="F645" s="18">
        <x:v>78</x:v>
      </x:c>
    </x:row>
    <x:row r="646">
      <x:c r="A646" t="s">
        <x:v>9</x:v>
      </x:c>
      <x:c r="B646" t="s">
        <x:v>29</x:v>
      </x:c>
      <x:c r="C646" t="s">
        <x:v>51</x:v>
      </x:c>
      <x:c r="D646" s="14">
        <x:v>44637</x:v>
      </x:c>
      <x:c r="E646" s="16">
        <x:v>1267</x:v>
      </x:c>
      <x:c r="F646" s="18">
        <x:v>130</x:v>
      </x:c>
    </x:row>
    <x:row r="647">
      <x:c r="A647" t="s">
        <x:v>46</x:v>
      </x:c>
      <x:c r="B647" t="s">
        <x:v>15</x:v>
      </x:c>
      <x:c r="C647" t="s">
        <x:v>56</x:v>
      </x:c>
      <x:c r="D647" s="14">
        <x:v>44586</x:v>
      </x:c>
      <x:c r="E647" s="16">
        <x:v>2961</x:v>
      </x:c>
      <x:c r="F647" s="18">
        <x:v>154</x:v>
      </x:c>
    </x:row>
    <x:row r="648">
      <x:c r="A648" t="s">
        <x:v>23</x:v>
      </x:c>
      <x:c r="B648" t="s">
        <x:v>15</x:v>
      </x:c>
      <x:c r="C648" t="s">
        <x:v>37</x:v>
      </x:c>
      <x:c r="D648" s="14">
        <x:v>44769</x:v>
      </x:c>
      <x:c r="E648" s="16">
        <x:v>1981</x:v>
      </x:c>
      <x:c r="F648" s="18">
        <x:v>52</x:v>
      </x:c>
    </x:row>
    <x:row r="649">
      <x:c r="A649" t="s">
        <x:v>40</x:v>
      </x:c>
      <x:c r="B649" t="s">
        <x:v>15</x:v>
      </x:c>
      <x:c r="C649" t="s">
        <x:v>42</x:v>
      </x:c>
      <x:c r="D649" s="14">
        <x:v>44589</x:v>
      </x:c>
      <x:c r="E649" s="16">
        <x:v>7959</x:v>
      </x:c>
      <x:c r="F649" s="18">
        <x:v>53</x:v>
      </x:c>
    </x:row>
    <x:row r="650">
      <x:c r="A650" t="s">
        <x:v>53</x:v>
      </x:c>
      <x:c r="B650" t="s">
        <x:v>15</x:v>
      </x:c>
      <x:c r="C650" t="s">
        <x:v>35</x:v>
      </x:c>
      <x:c r="D650" s="14">
        <x:v>44747</x:v>
      </x:c>
      <x:c r="E650" s="16">
        <x:v>10794</x:v>
      </x:c>
      <x:c r="F650" s="18">
        <x:v>50</x:v>
      </x:c>
    </x:row>
    <x:row r="651">
      <x:c r="A651" t="s">
        <x:v>9</x:v>
      </x:c>
      <x:c r="B651" t="s">
        <x:v>10</x:v>
      </x:c>
      <x:c r="C651" t="s">
        <x:v>44</x:v>
      </x:c>
      <x:c r="D651" s="14">
        <x:v>44635</x:v>
      </x:c>
      <x:c r="E651" s="16">
        <x:v>1897</x:v>
      </x:c>
      <x:c r="F651" s="18">
        <x:v>44</x:v>
      </x:c>
    </x:row>
    <x:row r="652">
      <x:c r="A652" t="s">
        <x:v>19</x:v>
      </x:c>
      <x:c r="B652" t="s">
        <x:v>29</x:v>
      </x:c>
      <x:c r="C652" t="s">
        <x:v>20</x:v>
      </x:c>
      <x:c r="D652" s="14">
        <x:v>44777</x:v>
      </x:c>
      <x:c r="E652" s="16">
        <x:v>2744</x:v>
      </x:c>
      <x:c r="F652" s="18">
        <x:v>200</x:v>
      </x:c>
    </x:row>
    <x:row r="653">
      <x:c r="A653" t="s">
        <x:v>14</x:v>
      </x:c>
      <x:c r="B653" t="s">
        <x:v>26</x:v>
      </x:c>
      <x:c r="C653" t="s">
        <x:v>42</x:v>
      </x:c>
      <x:c r="D653" s="14">
        <x:v>44739</x:v>
      </x:c>
      <x:c r="E653" s="16">
        <x:v>4382</x:v>
      </x:c>
      <x:c r="F653" s="18">
        <x:v>361</x:v>
      </x:c>
    </x:row>
    <x:row r="654">
      <x:c r="A654" t="s">
        <x:v>14</x:v>
      </x:c>
      <x:c r="B654" t="s">
        <x:v>29</x:v>
      </x:c>
      <x:c r="C654" t="s">
        <x:v>20</x:v>
      </x:c>
      <x:c r="D654" s="14">
        <x:v>44755</x:v>
      </x:c>
      <x:c r="E654" s="16">
        <x:v>4515</x:v>
      </x:c>
      <x:c r="F654" s="18">
        <x:v>172</x:v>
      </x:c>
    </x:row>
    <x:row r="655">
      <x:c r="A655" t="s">
        <x:v>25</x:v>
      </x:c>
      <x:c r="B655" t="s">
        <x:v>21</x:v>
      </x:c>
      <x:c r="C655" t="s">
        <x:v>45</x:v>
      </x:c>
      <x:c r="D655" s="14">
        <x:v>44616</x:v>
      </x:c>
      <x:c r="E655" s="16">
        <x:v>5474</x:v>
      </x:c>
      <x:c r="F655" s="18">
        <x:v>239</x:v>
      </x:c>
    </x:row>
    <x:row r="656">
      <x:c r="A656" t="s">
        <x:v>31</x:v>
      </x:c>
      <x:c r="B656" t="s">
        <x:v>21</x:v>
      </x:c>
      <x:c r="C656" t="s">
        <x:v>11</x:v>
      </x:c>
      <x:c r="D656" s="14">
        <x:v>44740</x:v>
      </x:c>
      <x:c r="E656" s="16">
        <x:v>6069</x:v>
      </x:c>
      <x:c r="F656" s="18">
        <x:v>55</x:v>
      </x:c>
    </x:row>
    <x:row r="657">
      <x:c r="A657" t="s">
        <x:v>17</x:v>
      </x:c>
      <x:c r="B657" t="s">
        <x:v>15</x:v>
      </x:c>
      <x:c r="C657" t="s">
        <x:v>11</x:v>
      </x:c>
      <x:c r="D657" s="14">
        <x:v>44742</x:v>
      </x:c>
      <x:c r="E657" s="16">
        <x:v>6944</x:v>
      </x:c>
      <x:c r="F657" s="18">
        <x:v>27</x:v>
      </x:c>
    </x:row>
    <x:row r="658">
      <x:c r="A658" t="s">
        <x:v>38</x:v>
      </x:c>
      <x:c r="B658" t="s">
        <x:v>29</x:v>
      </x:c>
      <x:c r="C658" t="s">
        <x:v>52</x:v>
      </x:c>
      <x:c r="D658" s="14">
        <x:v>44791</x:v>
      </x:c>
      <x:c r="E658" s="16">
        <x:v>5859</x:v>
      </x:c>
      <x:c r="F658" s="18">
        <x:v>7</x:v>
      </x:c>
    </x:row>
    <x:row r="659">
      <x:c r="A659" t="s">
        <x:v>41</x:v>
      </x:c>
      <x:c r="B659" t="s">
        <x:v>10</x:v>
      </x:c>
      <x:c r="C659" t="s">
        <x:v>58</x:v>
      </x:c>
      <x:c r="D659" s="14">
        <x:v>44585</x:v>
      </x:c>
      <x:c r="E659" s="16">
        <x:v>12173</x:v>
      </x:c>
      <x:c r="F659" s="18">
        <x:v>301</x:v>
      </x:c>
    </x:row>
    <x:row r="660">
      <x:c r="A660" t="s">
        <x:v>34</x:v>
      </x:c>
      <x:c r="B660" t="s">
        <x:v>26</x:v>
      </x:c>
      <x:c r="C660" t="s">
        <x:v>44</x:v>
      </x:c>
      <x:c r="D660" s="14">
        <x:v>44631</x:v>
      </x:c>
      <x:c r="E660" s="16">
        <x:v>5292</x:v>
      </x:c>
      <x:c r="F660" s="18">
        <x:v>134</x:v>
      </x:c>
    </x:row>
    <x:row r="661">
      <x:c r="A661" t="s">
        <x:v>55</x:v>
      </x:c>
      <x:c r="B661" t="s">
        <x:v>21</x:v>
      </x:c>
      <x:c r="C661" t="s">
        <x:v>20</x:v>
      </x:c>
      <x:c r="D661" s="14">
        <x:v>44735</x:v>
      </x:c>
      <x:c r="E661" s="16">
        <x:v>5705</x:v>
      </x:c>
      <x:c r="F661" s="18">
        <x:v>350</x:v>
      </x:c>
    </x:row>
    <x:row r="662">
      <x:c r="A662" t="s">
        <x:v>40</x:v>
      </x:c>
      <x:c r="B662" t="s">
        <x:v>10</x:v>
      </x:c>
      <x:c r="C662" t="s">
        <x:v>39</x:v>
      </x:c>
      <x:c r="D662" s="14">
        <x:v>44795</x:v>
      </x:c>
      <x:c r="E662" s="16">
        <x:v>2492</x:v>
      </x:c>
      <x:c r="F662" s="18">
        <x:v>33</x:v>
      </x:c>
    </x:row>
    <x:row r="663">
      <x:c r="A663" t="s">
        <x:v>19</x:v>
      </x:c>
      <x:c r="B663" t="s">
        <x:v>29</x:v>
      </x:c>
      <x:c r="C663" t="s">
        <x:v>22</x:v>
      </x:c>
      <x:c r="D663" s="14">
        <x:v>44565</x:v>
      </x:c>
      <x:c r="E663" s="16">
        <x:v>3024</x:v>
      </x:c>
      <x:c r="F663" s="18">
        <x:v>23</x:v>
      </x:c>
    </x:row>
    <x:row r="664">
      <x:c r="A664" t="s">
        <x:v>38</x:v>
      </x:c>
      <x:c r="B664" t="s">
        <x:v>10</x:v>
      </x:c>
      <x:c r="C664" t="s">
        <x:v>37</x:v>
      </x:c>
      <x:c r="D664" s="14">
        <x:v>44656</x:v>
      </x:c>
      <x:c r="E664" s="16">
        <x:v>3437</x:v>
      </x:c>
      <x:c r="F664" s="18">
        <x:v>201</x:v>
      </x:c>
    </x:row>
    <x:row r="665">
      <x:c r="A665" t="s">
        <x:v>34</x:v>
      </x:c>
      <x:c r="B665" t="s">
        <x:v>10</x:v>
      </x:c>
      <x:c r="C665" t="s">
        <x:v>37</x:v>
      </x:c>
      <x:c r="D665" s="14">
        <x:v>44666</x:v>
      </x:c>
      <x:c r="E665" s="16">
        <x:v>1869</x:v>
      </x:c>
      <x:c r="F665" s="18">
        <x:v>323</x:v>
      </x:c>
    </x:row>
    <x:row r="666">
      <x:c r="A666" t="s">
        <x:v>40</x:v>
      </x:c>
      <x:c r="B666" t="s">
        <x:v>15</x:v>
      </x:c>
      <x:c r="C666" t="s">
        <x:v>44</x:v>
      </x:c>
      <x:c r="D666" s="14">
        <x:v>44692</x:v>
      </x:c>
      <x:c r="E666" s="16">
        <x:v>3171</x:v>
      </x:c>
      <x:c r="F666" s="18">
        <x:v>220</x:v>
      </x:c>
    </x:row>
    <x:row r="667">
      <x:c r="A667" t="s">
        <x:v>48</x:v>
      </x:c>
      <x:c r="B667" t="s">
        <x:v>29</x:v>
      </x:c>
      <x:c r="C667" t="s">
        <x:v>45</x:v>
      </x:c>
      <x:c r="D667" s="14">
        <x:v>44763</x:v>
      </x:c>
      <x:c r="E667" s="16">
        <x:v>4858</x:v>
      </x:c>
      <x:c r="F667" s="18">
        <x:v>488</x:v>
      </x:c>
    </x:row>
    <x:row r="668">
      <x:c r="A668" t="s">
        <x:v>14</x:v>
      </x:c>
      <x:c r="B668" t="s">
        <x:v>21</x:v>
      </x:c>
      <x:c r="C668" t="s">
        <x:v>27</x:v>
      </x:c>
      <x:c r="D668" s="14">
        <x:v>44603</x:v>
      </x:c>
      <x:c r="E668" s="16">
        <x:v>1225</x:v>
      </x:c>
      <x:c r="F668" s="18">
        <x:v>84</x:v>
      </x:c>
    </x:row>
    <x:row r="669">
      <x:c r="A669" t="s">
        <x:v>48</x:v>
      </x:c>
      <x:c r="B669" t="s">
        <x:v>29</x:v>
      </x:c>
      <x:c r="C669" t="s">
        <x:v>16</x:v>
      </x:c>
      <x:c r="D669" s="14">
        <x:v>44750</x:v>
      </x:c>
      <x:c r="E669" s="16">
        <x:v>1155</x:v>
      </x:c>
      <x:c r="F669" s="18">
        <x:v>79</x:v>
      </x:c>
    </x:row>
    <x:row r="670">
      <x:c r="A670" t="s">
        <x:v>19</x:v>
      </x:c>
      <x:c r="B670" t="s">
        <x:v>7</x:v>
      </x:c>
      <x:c r="C670" t="s">
        <x:v>51</x:v>
      </x:c>
      <x:c r="D670" s="14">
        <x:v>44784</x:v>
      </x:c>
      <x:c r="E670" s="16">
        <x:v>6811</x:v>
      </x:c>
      <x:c r="F670" s="18">
        <x:v>344</x:v>
      </x:c>
    </x:row>
    <x:row r="671">
      <x:c r="A671" t="s">
        <x:v>40</x:v>
      </x:c>
      <x:c r="B671" t="s">
        <x:v>21</x:v>
      </x:c>
      <x:c r="C671" t="s">
        <x:v>20</x:v>
      </x:c>
      <x:c r="D671" s="14">
        <x:v>44777</x:v>
      </x:c>
      <x:c r="E671" s="16">
        <x:v>6433</x:v>
      </x:c>
      <x:c r="F671" s="18">
        <x:v>7</x:v>
      </x:c>
    </x:row>
    <x:row r="672">
      <x:c r="A672" t="s">
        <x:v>48</x:v>
      </x:c>
      <x:c r="B672" t="s">
        <x:v>21</x:v>
      </x:c>
      <x:c r="C672" t="s">
        <x:v>27</x:v>
      </x:c>
      <x:c r="D672" s="14">
        <x:v>44726</x:v>
      </x:c>
      <x:c r="E672" s="16">
        <x:v>8169</x:v>
      </x:c>
      <x:c r="F672" s="18">
        <x:v>88</x:v>
      </x:c>
    </x:row>
    <x:row r="673">
      <x:c r="A673" t="s">
        <x:v>43</x:v>
      </x:c>
      <x:c r="B673" t="s">
        <x:v>7</x:v>
      </x:c>
      <x:c r="C673" t="s">
        <x:v>56</x:v>
      </x:c>
      <x:c r="D673" s="14">
        <x:v>44578</x:v>
      </x:c>
      <x:c r="E673" s="16">
        <x:v>2275</x:v>
      </x:c>
      <x:c r="F673" s="18">
        <x:v>275</x:v>
      </x:c>
    </x:row>
    <x:row r="674">
      <x:c r="A674" t="s">
        <x:v>6</x:v>
      </x:c>
      <x:c r="B674" t="s">
        <x:v>29</x:v>
      </x:c>
      <x:c r="C674" t="s">
        <x:v>27</x:v>
      </x:c>
      <x:c r="D674" s="14">
        <x:v>44735</x:v>
      </x:c>
      <x:c r="E674" s="16">
        <x:v>3857</x:v>
      </x:c>
      <x:c r="F674" s="18">
        <x:v>512</x:v>
      </x:c>
    </x:row>
    <x:row r="675">
      <x:c r="A675" t="s">
        <x:v>6</x:v>
      </x:c>
      <x:c r="B675" t="s">
        <x:v>7</x:v>
      </x:c>
      <x:c r="C675" t="s">
        <x:v>16</x:v>
      </x:c>
      <x:c r="D675" s="14">
        <x:v>44797</x:v>
      </x:c>
      <x:c r="E675" s="16">
        <x:v>1463</x:v>
      </x:c>
      <x:c r="F675" s="18">
        <x:v>113</x:v>
      </x:c>
    </x:row>
    <x:row r="676">
      <x:c r="A676" t="s">
        <x:v>48</x:v>
      </x:c>
      <x:c r="B676" t="s">
        <x:v>7</x:v>
      </x:c>
      <x:c r="C676" t="s">
        <x:v>57</x:v>
      </x:c>
      <x:c r="D676" s="14">
        <x:v>44719</x:v>
      </x:c>
      <x:c r="E676" s="16">
        <x:v>7924</x:v>
      </x:c>
      <x:c r="F676" s="18">
        <x:v>275</x:v>
      </x:c>
    </x:row>
    <x:row r="677">
      <x:c r="A677" t="s">
        <x:v>14</x:v>
      </x:c>
      <x:c r="B677" t="s">
        <x:v>7</x:v>
      </x:c>
      <x:c r="C677" t="s">
        <x:v>44</x:v>
      </x:c>
      <x:c r="D677" s="14">
        <x:v>44734</x:v>
      </x:c>
      <x:c r="E677" s="16">
        <x:v>8799</x:v>
      </x:c>
      <x:c r="F677" s="18">
        <x:v>47</x:v>
      </x:c>
    </x:row>
    <x:row r="678">
      <x:c r="A678" t="s">
        <x:v>54</x:v>
      </x:c>
      <x:c r="B678" t="s">
        <x:v>26</x:v>
      </x:c>
      <x:c r="C678" t="s">
        <x:v>42</x:v>
      </x:c>
      <x:c r="D678" s="14">
        <x:v>44755</x:v>
      </x:c>
      <x:c r="E678" s="16">
        <x:v>2898</x:v>
      </x:c>
      <x:c r="F678" s="18">
        <x:v>276</x:v>
      </x:c>
    </x:row>
    <x:row r="679">
      <x:c r="A679" t="s">
        <x:v>49</x:v>
      </x:c>
      <x:c r="B679" t="s">
        <x:v>7</x:v>
      </x:c>
      <x:c r="C679" t="s">
        <x:v>52</x:v>
      </x:c>
      <x:c r="D679" s="14">
        <x:v>44705</x:v>
      </x:c>
      <x:c r="E679" s="16">
        <x:v>9506</x:v>
      </x:c>
      <x:c r="F679" s="18">
        <x:v>212</x:v>
      </x:c>
    </x:row>
    <x:row r="680">
      <x:c r="A680" t="s">
        <x:v>19</x:v>
      </x:c>
      <x:c r="B680" t="s">
        <x:v>21</x:v>
      </x:c>
      <x:c r="C680" t="s">
        <x:v>20</x:v>
      </x:c>
      <x:c r="D680" s="14">
        <x:v>44782</x:v>
      </x:c>
      <x:c r="E680" s="16">
        <x:v>7175</x:v>
      </x:c>
      <x:c r="F680" s="18">
        <x:v>145</x:v>
      </x:c>
    </x:row>
    <x:row r="681">
      <x:c r="A681" t="s">
        <x:v>41</x:v>
      </x:c>
      <x:c r="B681" t="s">
        <x:v>29</x:v>
      </x:c>
      <x:c r="C681" t="s">
        <x:v>11</x:v>
      </x:c>
      <x:c r="D681" s="14">
        <x:v>44657</x:v>
      </x:c>
      <x:c r="E681" s="16">
        <x:v>1729</x:v>
      </x:c>
      <x:c r="F681" s="18">
        <x:v>31</x:v>
      </x:c>
    </x:row>
    <x:row r="682">
      <x:c r="A682" t="s">
        <x:v>14</x:v>
      </x:c>
      <x:c r="B682" t="s">
        <x:v>21</x:v>
      </x:c>
      <x:c r="C682" t="s">
        <x:v>45</x:v>
      </x:c>
      <x:c r="D682" s="14">
        <x:v>44770</x:v>
      </x:c>
      <x:c r="E682" s="16">
        <x:v>1589</x:v>
      </x:c>
      <x:c r="F682" s="18">
        <x:v>271</x:v>
      </x:c>
    </x:row>
    <x:row r="683">
      <x:c r="A683" t="s">
        <x:v>19</x:v>
      </x:c>
      <x:c r="B683" t="s">
        <x:v>21</x:v>
      </x:c>
      <x:c r="C683" t="s">
        <x:v>51</x:v>
      </x:c>
      <x:c r="D683" s="14">
        <x:v>44797</x:v>
      </x:c>
      <x:c r="E683" s="16">
        <x:v>630</x:v>
      </x:c>
      <x:c r="F683" s="18">
        <x:v>52</x:v>
      </x:c>
    </x:row>
    <x:row r="684">
      <x:c r="A684" t="s">
        <x:v>9</x:v>
      </x:c>
      <x:c r="B684" t="s">
        <x:v>15</x:v>
      </x:c>
      <x:c r="C684" t="s">
        <x:v>18</x:v>
      </x:c>
      <x:c r="D684" s="14">
        <x:v>44578</x:v>
      </x:c>
      <x:c r="E684" s="16">
        <x:v>112</x:v>
      </x:c>
      <x:c r="F684" s="18">
        <x:v>128</x:v>
      </x:c>
    </x:row>
    <x:row r="685">
      <x:c r="A685" t="s">
        <x:v>38</x:v>
      </x:c>
      <x:c r="B685" t="s">
        <x:v>26</x:v>
      </x:c>
      <x:c r="C685" t="s">
        <x:v>32</x:v>
      </x:c>
      <x:c r="D685" s="14">
        <x:v>44599</x:v>
      </x:c>
      <x:c r="E685" s="16">
        <x:v>5187</x:v>
      </x:c>
      <x:c r="F685" s="18">
        <x:v>142</x:v>
      </x:c>
    </x:row>
    <x:row r="686">
      <x:c r="A686" t="s">
        <x:v>23</x:v>
      </x:c>
      <x:c r="B686" t="s">
        <x:v>15</x:v>
      </x:c>
      <x:c r="C686" t="s">
        <x:v>39</x:v>
      </x:c>
      <x:c r="D686" s="14">
        <x:v>44690</x:v>
      </x:c>
      <x:c r="E686" s="16">
        <x:v>6223</x:v>
      </x:c>
      <x:c r="F686" s="18">
        <x:v>256</x:v>
      </x:c>
    </x:row>
    <x:row r="687">
      <x:c r="A687" t="s">
        <x:v>28</x:v>
      </x:c>
      <x:c r="B687" t="s">
        <x:v>21</x:v>
      </x:c>
      <x:c r="C687" t="s">
        <x:v>11</x:v>
      </x:c>
      <x:c r="D687" s="14">
        <x:v>44718</x:v>
      </x:c>
      <x:c r="E687" s="16">
        <x:v>7714</x:v>
      </x:c>
      <x:c r="F687" s="18">
        <x:v>106</x:v>
      </x:c>
    </x:row>
    <x:row r="688">
      <x:c r="A688" t="s">
        <x:v>46</x:v>
      </x:c>
      <x:c r="B688" t="s">
        <x:v>26</x:v>
      </x:c>
      <x:c r="C688" t="s">
        <x:v>52</x:v>
      </x:c>
      <x:c r="D688" s="14">
        <x:v>44718</x:v>
      </x:c>
      <x:c r="E688" s="16">
        <x:v>9457</x:v>
      </x:c>
      <x:c r="F688" s="18">
        <x:v>6</x:v>
      </x:c>
    </x:row>
    <x:row r="689">
      <x:c r="A689" t="s">
        <x:v>34</x:v>
      </x:c>
      <x:c r="B689" t="s">
        <x:v>21</x:v>
      </x:c>
      <x:c r="C689" t="s">
        <x:v>35</x:v>
      </x:c>
      <x:c r="D689" s="14">
        <x:v>44705</x:v>
      </x:c>
      <x:c r="E689" s="16">
        <x:v>6678</x:v>
      </x:c>
      <x:c r="F689" s="18">
        <x:v>226</x:v>
      </x:c>
    </x:row>
    <x:row r="690">
      <x:c r="A690" t="s">
        <x:v>19</x:v>
      </x:c>
      <x:c r="B690" t="s">
        <x:v>7</x:v>
      </x:c>
      <x:c r="C690" t="s">
        <x:v>22</x:v>
      </x:c>
      <x:c r="D690" s="14">
        <x:v>44574</x:v>
      </x:c>
      <x:c r="E690" s="16">
        <x:v>2107</x:v>
      </x:c>
      <x:c r="F690" s="18">
        <x:v>121</x:v>
      </x:c>
    </x:row>
    <x:row r="691">
      <x:c r="A691" t="s">
        <x:v>33</x:v>
      </x:c>
      <x:c r="B691" t="s">
        <x:v>26</x:v>
      </x:c>
      <x:c r="C691" t="s">
        <x:v>51</x:v>
      </x:c>
      <x:c r="D691" s="14">
        <x:v>44704</x:v>
      </x:c>
      <x:c r="E691" s="16">
        <x:v>6069</x:v>
      </x:c>
      <x:c r="F691" s="18">
        <x:v>151</x:v>
      </x:c>
    </x:row>
    <x:row r="692">
      <x:c r="A692" t="s">
        <x:v>6</x:v>
      </x:c>
      <x:c r="B692" t="s">
        <x:v>7</x:v>
      </x:c>
      <x:c r="C692" t="s">
        <x:v>44</x:v>
      </x:c>
      <x:c r="D692" s="14">
        <x:v>44741</x:v>
      </x:c>
      <x:c r="E692" s="16">
        <x:v>1862</x:v>
      </x:c>
      <x:c r="F692" s="18">
        <x:v>284</x:v>
      </x:c>
    </x:row>
    <x:row r="693">
      <x:c r="A693" t="s">
        <x:v>6</x:v>
      </x:c>
      <x:c r="B693" t="s">
        <x:v>21</x:v>
      </x:c>
      <x:c r="C693" t="s">
        <x:v>11</x:v>
      </x:c>
      <x:c r="D693" s="14">
        <x:v>44631</x:v>
      </x:c>
      <x:c r="E693" s="16">
        <x:v>6972</x:v>
      </x:c>
      <x:c r="F693" s="18">
        <x:v>89</x:v>
      </x:c>
    </x:row>
    <x:row r="694">
      <x:c r="A694" t="s">
        <x:v>54</x:v>
      </x:c>
      <x:c r="B694" t="s">
        <x:v>26</x:v>
      </x:c>
      <x:c r="C694" t="s">
        <x:v>11</x:v>
      </x:c>
      <x:c r="D694" s="14">
        <x:v>44676</x:v>
      </x:c>
      <x:c r="E694" s="16">
        <x:v>10220</x:v>
      </x:c>
      <x:c r="F694" s="18">
        <x:v>508</x:v>
      </x:c>
    </x:row>
    <x:row r="695">
      <x:c r="A695" t="s">
        <x:v>24</x:v>
      </x:c>
      <x:c r="B695" t="s">
        <x:v>15</x:v>
      </x:c>
      <x:c r="C695" t="s">
        <x:v>16</x:v>
      </x:c>
      <x:c r="D695" s="14">
        <x:v>44711</x:v>
      </x:c>
      <x:c r="E695" s="16">
        <x:v>3969</x:v>
      </x:c>
      <x:c r="F695" s="18">
        <x:v>243</x:v>
      </x:c>
    </x:row>
    <x:row r="696">
      <x:c r="A696" t="s">
        <x:v>38</x:v>
      </x:c>
      <x:c r="B696" t="s">
        <x:v>10</x:v>
      </x:c>
      <x:c r="C696" t="s">
        <x:v>45</x:v>
      </x:c>
      <x:c r="D696" s="14">
        <x:v>44704</x:v>
      </x:c>
      <x:c r="E696" s="16">
        <x:v>1547</x:v>
      </x:c>
      <x:c r="F696" s="18">
        <x:v>170</x:v>
      </x:c>
    </x:row>
    <x:row r="697">
      <x:c r="A697" t="s">
        <x:v>28</x:v>
      </x:c>
      <x:c r="B697" t="s">
        <x:v>26</x:v>
      </x:c>
      <x:c r="C697" t="s">
        <x:v>13</x:v>
      </x:c>
      <x:c r="D697" s="14">
        <x:v>44704</x:v>
      </x:c>
      <x:c r="E697" s="16">
        <x:v>1162</x:v>
      </x:c>
      <x:c r="F697" s="18">
        <x:v>18</x:v>
      </x:c>
    </x:row>
    <x:row r="698">
      <x:c r="A698" t="s">
        <x:v>9</x:v>
      </x:c>
      <x:c r="B698" t="s">
        <x:v>29</x:v>
      </x:c>
      <x:c r="C698" t="s">
        <x:v>13</x:v>
      </x:c>
      <x:c r="D698" s="14">
        <x:v>44736</x:v>
      </x:c>
      <x:c r="E698" s="16">
        <x:v>6342</x:v>
      </x:c>
      <x:c r="F698" s="18">
        <x:v>282</x:v>
      </x:c>
    </x:row>
    <x:row r="699">
      <x:c r="A699" t="s">
        <x:v>49</x:v>
      </x:c>
      <x:c r="B699" t="s">
        <x:v>21</x:v>
      </x:c>
      <x:c r="C699" t="s">
        <x:v>16</x:v>
      </x:c>
      <x:c r="D699" s="14">
        <x:v>44631</x:v>
      </x:c>
      <x:c r="E699" s="16">
        <x:v>10633</x:v>
      </x:c>
      <x:c r="F699" s="18">
        <x:v>277</x:v>
      </x:c>
    </x:row>
    <x:row r="700">
      <x:c r="A700" t="s">
        <x:v>24</x:v>
      </x:c>
      <x:c r="B700" t="s">
        <x:v>26</x:v>
      </x:c>
      <x:c r="C700" t="s">
        <x:v>16</x:v>
      </x:c>
      <x:c r="D700" s="14">
        <x:v>44769</x:v>
      </x:c>
      <x:c r="E700" s="16">
        <x:v>15057</x:v>
      </x:c>
      <x:c r="F700" s="18">
        <x:v>212</x:v>
      </x:c>
    </x:row>
    <x:row r="701">
      <x:c r="A701" t="s">
        <x:v>24</x:v>
      </x:c>
      <x:c r="B701" t="s">
        <x:v>26</x:v>
      </x:c>
      <x:c r="C701" t="s">
        <x:v>44</x:v>
      </x:c>
      <x:c r="D701" s="14">
        <x:v>44789</x:v>
      </x:c>
      <x:c r="E701" s="16">
        <x:v>4704</x:v>
      </x:c>
      <x:c r="F701" s="18">
        <x:v>126</x:v>
      </x:c>
    </x:row>
    <x:row r="702">
      <x:c r="A702" t="s">
        <x:v>36</x:v>
      </x:c>
      <x:c r="B702" t="s">
        <x:v>29</x:v>
      </x:c>
      <x:c r="C702" t="s">
        <x:v>16</x:v>
      </x:c>
      <x:c r="D702" s="14">
        <x:v>44627</x:v>
      </x:c>
      <x:c r="E702" s="16">
        <x:v>9338</x:v>
      </x:c>
      <x:c r="F702" s="18">
        <x:v>11</x:v>
      </x:c>
    </x:row>
    <x:row r="703">
      <x:c r="A703" t="s">
        <x:v>38</x:v>
      </x:c>
      <x:c r="B703" t="s">
        <x:v>21</x:v>
      </x:c>
      <x:c r="C703" t="s">
        <x:v>20</x:v>
      </x:c>
      <x:c r="D703" s="14">
        <x:v>44656</x:v>
      </x:c>
      <x:c r="E703" s="16">
        <x:v>7959</x:v>
      </x:c>
      <x:c r="F703" s="18">
        <x:v>30</x:v>
      </x:c>
    </x:row>
    <x:row r="704">
      <x:c r="A704" t="s">
        <x:v>50</x:v>
      </x:c>
      <x:c r="B704" t="s">
        <x:v>10</x:v>
      </x:c>
      <x:c r="C704" t="s">
        <x:v>11</x:v>
      </x:c>
      <x:c r="D704" s="14">
        <x:v>44685</x:v>
      </x:c>
      <x:c r="E704" s="16">
        <x:v>9023</x:v>
      </x:c>
      <x:c r="F704" s="18">
        <x:v>51</x:v>
      </x:c>
    </x:row>
    <x:row r="705">
      <x:c r="A705" t="s">
        <x:v>55</x:v>
      </x:c>
      <x:c r="B705" t="s">
        <x:v>26</x:v>
      </x:c>
      <x:c r="C705" t="s">
        <x:v>52</x:v>
      </x:c>
      <x:c r="D705" s="14">
        <x:v>44565</x:v>
      </x:c>
      <x:c r="E705" s="16">
        <x:v>14525</x:v>
      </x:c>
      <x:c r="F705" s="18">
        <x:v>92</x:v>
      </x:c>
    </x:row>
    <x:row r="706">
      <x:c r="A706" t="s">
        <x:v>33</x:v>
      </x:c>
      <x:c r="B706" t="s">
        <x:v>15</x:v>
      </x:c>
      <x:c r="C706" t="s">
        <x:v>56</x:v>
      </x:c>
      <x:c r="D706" s="14">
        <x:v>44574</x:v>
      </x:c>
      <x:c r="E706" s="16">
        <x:v>5810</x:v>
      </x:c>
      <x:c r="F706" s="18">
        <x:v>101</x:v>
      </x:c>
    </x:row>
    <x:row r="707">
      <x:c r="A707" t="s">
        <x:v>46</x:v>
      </x:c>
      <x:c r="B707" t="s">
        <x:v>21</x:v>
      </x:c>
      <x:c r="C707" t="s">
        <x:v>42</x:v>
      </x:c>
      <x:c r="D707" s="14">
        <x:v>44753</x:v>
      </x:c>
      <x:c r="E707" s="16">
        <x:v>6426</x:v>
      </x:c>
      <x:c r="F707" s="18">
        <x:v>98</x:v>
      </x:c>
    </x:row>
    <x:row r="708">
      <x:c r="A708" t="s">
        <x:v>41</x:v>
      </x:c>
      <x:c r="B708" t="s">
        <x:v>15</x:v>
      </x:c>
      <x:c r="C708" t="s">
        <x:v>8</x:v>
      </x:c>
      <x:c r="D708" s="14">
        <x:v>44698</x:v>
      </x:c>
      <x:c r="E708" s="16">
        <x:v>4403</x:v>
      </x:c>
      <x:c r="F708" s="18">
        <x:v>159</x:v>
      </x:c>
    </x:row>
    <x:row r="709">
      <x:c r="A709" t="s">
        <x:v>50</x:v>
      </x:c>
      <x:c r="B709" t="s">
        <x:v>21</x:v>
      </x:c>
      <x:c r="C709" t="s">
        <x:v>13</x:v>
      </x:c>
      <x:c r="D709" s="14">
        <x:v>44763</x:v>
      </x:c>
      <x:c r="E709" s="16">
        <x:v>1582</x:v>
      </x:c>
      <x:c r="F709" s="18">
        <x:v>62</x:v>
      </x:c>
    </x:row>
    <x:row r="710">
      <x:c r="A710" t="s">
        <x:v>38</x:v>
      </x:c>
      <x:c r="B710" t="s">
        <x:v>29</x:v>
      </x:c>
      <x:c r="C710" t="s">
        <x:v>35</x:v>
      </x:c>
      <x:c r="D710" s="14">
        <x:v>44614</x:v>
      </x:c>
      <x:c r="E710" s="16">
        <x:v>791</x:v>
      </x:c>
      <x:c r="F710" s="18">
        <x:v>22</x:v>
      </x:c>
    </x:row>
    <x:row r="711">
      <x:c r="A711" t="s">
        <x:v>14</x:v>
      </x:c>
      <x:c r="B711" t="s">
        <x:v>10</x:v>
      </x:c>
      <x:c r="C711" t="s">
        <x:v>18</x:v>
      </x:c>
      <x:c r="D711" s="14">
        <x:v>44704</x:v>
      </x:c>
      <x:c r="E711" s="16">
        <x:v>9100</x:v>
      </x:c>
      <x:c r="F711" s="18">
        <x:v>187</x:v>
      </x:c>
    </x:row>
    <x:row r="712">
      <x:c r="A712" t="s">
        <x:v>24</x:v>
      </x:c>
      <x:c r="B712" t="s">
        <x:v>29</x:v>
      </x:c>
      <x:c r="C712" t="s">
        <x:v>32</x:v>
      </x:c>
      <x:c r="D712" s="14">
        <x:v>44754</x:v>
      </x:c>
      <x:c r="E712" s="16">
        <x:v>9884</x:v>
      </x:c>
      <x:c r="F712" s="18">
        <x:v>200</x:v>
      </x:c>
    </x:row>
    <x:row r="713">
      <x:c r="A713" t="s">
        <x:v>14</x:v>
      </x:c>
      <x:c r="B713" t="s">
        <x:v>7</x:v>
      </x:c>
      <x:c r="C713" t="s">
        <x:v>27</x:v>
      </x:c>
      <x:c r="D713" s="14">
        <x:v>44727</x:v>
      </x:c>
      <x:c r="E713" s="16">
        <x:v>3780</x:v>
      </x:c>
      <x:c r="F713" s="18">
        <x:v>201</x:v>
      </x:c>
    </x:row>
    <x:row r="714">
      <x:c r="A714" t="s">
        <x:v>25</x:v>
      </x:c>
      <x:c r="B714" t="s">
        <x:v>21</x:v>
      </x:c>
      <x:c r="C714" t="s">
        <x:v>22</x:v>
      </x:c>
      <x:c r="D714" s="14">
        <x:v>44735</x:v>
      </x:c>
      <x:c r="E714" s="16">
        <x:v>4557</x:v>
      </x:c>
      <x:c r="F714" s="18">
        <x:v>308</x:v>
      </x:c>
    </x:row>
    <x:row r="715">
      <x:c r="A715" t="s">
        <x:v>38</x:v>
      </x:c>
      <x:c r="B715" t="s">
        <x:v>15</x:v>
      </x:c>
      <x:c r="C715" t="s">
        <x:v>30</x:v>
      </x:c>
      <x:c r="D715" s="14">
        <x:v>44645</x:v>
      </x:c>
      <x:c r="E715" s="16">
        <x:v>5796</x:v>
      </x:c>
      <x:c r="F715" s="18">
        <x:v>55</x:v>
      </x:c>
    </x:row>
    <x:row r="716">
      <x:c r="A716" t="s">
        <x:v>14</x:v>
      </x:c>
      <x:c r="B716" t="s">
        <x:v>10</x:v>
      </x:c>
      <x:c r="C716" t="s">
        <x:v>57</x:v>
      </x:c>
      <x:c r="D716" s="14">
        <x:v>44746</x:v>
      </x:c>
      <x:c r="E716" s="16">
        <x:v>84</x:v>
      </x:c>
      <x:c r="F716" s="18">
        <x:v>153</x:v>
      </x:c>
    </x:row>
    <x:row r="717">
      <x:c r="A717" t="s">
        <x:v>48</x:v>
      </x:c>
      <x:c r="B717" t="s">
        <x:v>7</x:v>
      </x:c>
      <x:c r="C717" t="s">
        <x:v>44</x:v>
      </x:c>
      <x:c r="D717" s="14">
        <x:v>44693</x:v>
      </x:c>
      <x:c r="E717" s="16">
        <x:v>9037</x:v>
      </x:c>
      <x:c r="F717" s="18">
        <x:v>101</x:v>
      </x:c>
    </x:row>
    <x:row r="718">
      <x:c r="A718" t="s">
        <x:v>50</x:v>
      </x:c>
      <x:c r="B718" t="s">
        <x:v>21</x:v>
      </x:c>
      <x:c r="C718" t="s">
        <x:v>51</x:v>
      </x:c>
      <x:c r="D718" s="14">
        <x:v>44655</x:v>
      </x:c>
      <x:c r="E718" s="16">
        <x:v>4746</x:v>
      </x:c>
      <x:c r="F718" s="18">
        <x:v>137</x:v>
      </x:c>
    </x:row>
    <x:row r="719">
      <x:c r="A719" t="s">
        <x:v>53</x:v>
      </x:c>
      <x:c r="B719" t="s">
        <x:v>15</x:v>
      </x:c>
      <x:c r="C719" t="s">
        <x:v>27</x:v>
      </x:c>
      <x:c r="D719" s="14">
        <x:v>44666</x:v>
      </x:c>
      <x:c r="E719" s="16">
        <x:v>6713</x:v>
      </x:c>
      <x:c r="F719" s="18">
        <x:v>398</x:v>
      </x:c>
    </x:row>
    <x:row r="720">
      <x:c r="A720" t="s">
        <x:v>36</x:v>
      </x:c>
      <x:c r="B720" t="s">
        <x:v>29</x:v>
      </x:c>
      <x:c r="C720" t="s">
        <x:v>30</x:v>
      </x:c>
      <x:c r="D720" s="14">
        <x:v>44628</x:v>
      </x:c>
      <x:c r="E720" s="16">
        <x:v>6237</x:v>
      </x:c>
      <x:c r="F720" s="18">
        <x:v>88</x:v>
      </x:c>
    </x:row>
    <x:row r="721">
      <x:c r="A721" t="s">
        <x:v>31</x:v>
      </x:c>
      <x:c r="B721" t="s">
        <x:v>10</x:v>
      </x:c>
      <x:c r="C721" t="s">
        <x:v>44</x:v>
      </x:c>
      <x:c r="D721" s="14">
        <x:v>44578</x:v>
      </x:c>
      <x:c r="E721" s="16">
        <x:v>7483</x:v>
      </x:c>
      <x:c r="F721" s="18">
        <x:v>232</x:v>
      </x:c>
    </x:row>
    <x:row r="722">
      <x:c r="A722" t="s">
        <x:v>46</x:v>
      </x:c>
      <x:c r="B722" t="s">
        <x:v>10</x:v>
      </x:c>
      <x:c r="C722" t="s">
        <x:v>8</x:v>
      </x:c>
      <x:c r="D722" s="14">
        <x:v>44795</x:v>
      </x:c>
      <x:c r="E722" s="16">
        <x:v>1309</x:v>
      </x:c>
      <x:c r="F722" s="18">
        <x:v>51</x:v>
      </x:c>
    </x:row>
    <x:row r="723">
      <x:c r="A723" t="s">
        <x:v>48</x:v>
      </x:c>
      <x:c r="B723" t="s">
        <x:v>7</x:v>
      </x:c>
      <x:c r="C723" t="s">
        <x:v>18</x:v>
      </x:c>
      <x:c r="D723" s="14">
        <x:v>44767</x:v>
      </x:c>
      <x:c r="E723" s="16">
        <x:v>1155</x:v>
      </x:c>
      <x:c r="F723" s="18">
        <x:v>66</x:v>
      </x:c>
    </x:row>
    <x:row r="724">
      <x:c r="A724" t="s">
        <x:v>33</x:v>
      </x:c>
      <x:c r="B724" t="s">
        <x:v>7</x:v>
      </x:c>
      <x:c r="C724" t="s">
        <x:v>22</x:v>
      </x:c>
      <x:c r="D724" s="14">
        <x:v>44726</x:v>
      </x:c>
      <x:c r="E724" s="16">
        <x:v>2989</x:v>
      </x:c>
      <x:c r="F724" s="18">
        <x:v>124</x:v>
      </x:c>
    </x:row>
    <x:row r="725">
      <x:c r="A725" t="s">
        <x:v>55</x:v>
      </x:c>
      <x:c r="B725" t="s">
        <x:v>10</x:v>
      </x:c>
      <x:c r="C725" t="s">
        <x:v>52</x:v>
      </x:c>
      <x:c r="D725" s="14">
        <x:v>44656</x:v>
      </x:c>
      <x:c r="E725" s="16">
        <x:v>9625</x:v>
      </x:c>
      <x:c r="F725" s="18">
        <x:v>78</x:v>
      </x:c>
    </x:row>
    <x:row r="726">
      <x:c r="A726" t="s">
        <x:v>53</x:v>
      </x:c>
      <x:c r="B726" t="s">
        <x:v>7</x:v>
      </x:c>
      <x:c r="C726" t="s">
        <x:v>51</x:v>
      </x:c>
      <x:c r="D726" s="14">
        <x:v>44799</x:v>
      </x:c>
      <x:c r="E726" s="16">
        <x:v>7357</x:v>
      </x:c>
      <x:c r="F726" s="18">
        <x:v>341</x:v>
      </x:c>
    </x:row>
    <x:row r="727">
      <x:c r="A727" t="s">
        <x:v>46</x:v>
      </x:c>
      <x:c r="B727" t="s">
        <x:v>15</x:v>
      </x:c>
      <x:c r="C727" t="s">
        <x:v>22</x:v>
      </x:c>
      <x:c r="D727" s="14">
        <x:v>44776</x:v>
      </x:c>
      <x:c r="E727" s="16">
        <x:v>10031</x:v>
      </x:c>
      <x:c r="F727" s="18">
        <x:v>114</x:v>
      </x:c>
    </x:row>
    <x:row r="728">
      <x:c r="A728" t="s">
        <x:v>12</x:v>
      </x:c>
      <x:c r="B728" t="s">
        <x:v>29</x:v>
      </x:c>
      <x:c r="C728" t="s">
        <x:v>44</x:v>
      </x:c>
      <x:c r="D728" s="14">
        <x:v>44753</x:v>
      </x:c>
      <x:c r="E728" s="16">
        <x:v>6587</x:v>
      </x:c>
      <x:c r="F728" s="18">
        <x:v>4</x:v>
      </x:c>
    </x:row>
    <x:row r="729">
      <x:c r="A729" t="s">
        <x:v>46</x:v>
      </x:c>
      <x:c r="B729" t="s">
        <x:v>21</x:v>
      </x:c>
      <x:c r="C729" t="s">
        <x:v>30</x:v>
      </x:c>
      <x:c r="D729" s="14">
        <x:v>44631</x:v>
      </x:c>
      <x:c r="E729" s="16">
        <x:v>3311</x:v>
      </x:c>
      <x:c r="F729" s="18">
        <x:v>22</x:v>
      </x:c>
    </x:row>
    <x:row r="730">
      <x:c r="A730" t="s">
        <x:v>23</x:v>
      </x:c>
      <x:c r="B730" t="s">
        <x:v>7</x:v>
      </x:c>
      <x:c r="C730" t="s">
        <x:v>13</x:v>
      </x:c>
      <x:c r="D730" s="14">
        <x:v>44571</x:v>
      </x:c>
      <x:c r="E730" s="16">
        <x:v>15330</x:v>
      </x:c>
      <x:c r="F730" s="18">
        <x:v>30</x:v>
      </x:c>
    </x:row>
    <x:row r="731">
      <x:c r="A731" t="s">
        <x:v>36</x:v>
      </x:c>
      <x:c r="B731" t="s">
        <x:v>7</x:v>
      </x:c>
      <x:c r="C731" t="s">
        <x:v>56</x:v>
      </x:c>
      <x:c r="D731" s="14">
        <x:v>44655</x:v>
      </x:c>
      <x:c r="E731" s="16">
        <x:v>14028</x:v>
      </x:c>
      <x:c r="F731" s="18">
        <x:v>351</x:v>
      </x:c>
    </x:row>
    <x:row r="732">
      <x:c r="A732" t="s">
        <x:v>31</x:v>
      </x:c>
      <x:c r="B732" t="s">
        <x:v>15</x:v>
      </x:c>
      <x:c r="C732" t="s">
        <x:v>22</x:v>
      </x:c>
      <x:c r="D732" s="14">
        <x:v>44578</x:v>
      </x:c>
      <x:c r="E732" s="16">
        <x:v>6678</x:v>
      </x:c>
      <x:c r="F732" s="18">
        <x:v>708</x:v>
      </x:c>
    </x:row>
    <x:row r="733">
      <x:c r="A733" t="s">
        <x:v>33</x:v>
      </x:c>
      <x:c r="B733" t="s">
        <x:v>21</x:v>
      </x:c>
      <x:c r="C733" t="s">
        <x:v>35</x:v>
      </x:c>
      <x:c r="D733" s="14">
        <x:v>44750</x:v>
      </x:c>
      <x:c r="E733" s="16">
        <x:v>8624</x:v>
      </x:c>
      <x:c r="F733" s="18">
        <x:v>50</x:v>
      </x:c>
    </x:row>
    <x:row r="734">
      <x:c r="A734" t="s">
        <x:v>14</x:v>
      </x:c>
      <x:c r="B734" t="s">
        <x:v>7</x:v>
      </x:c>
      <x:c r="C734" t="s">
        <x:v>35</x:v>
      </x:c>
      <x:c r="D734" s="14">
        <x:v>44663</x:v>
      </x:c>
      <x:c r="E734" s="16">
        <x:v>1197</x:v>
      </x:c>
      <x:c r="F734" s="18">
        <x:v>356</x:v>
      </x:c>
    </x:row>
    <x:row r="735">
      <x:c r="A735" t="s">
        <x:v>24</x:v>
      </x:c>
      <x:c r="B735" t="s">
        <x:v>29</x:v>
      </x:c>
      <x:c r="C735" t="s">
        <x:v>42</x:v>
      </x:c>
      <x:c r="D735" s="14">
        <x:v>44797</x:v>
      </x:c>
      <x:c r="E735" s="16">
        <x:v>483</x:v>
      </x:c>
      <x:c r="F735" s="18">
        <x:v>185</x:v>
      </x:c>
    </x:row>
    <x:row r="736">
      <x:c r="A736" t="s">
        <x:v>55</x:v>
      </x:c>
      <x:c r="B736" t="s">
        <x:v>7</x:v>
      </x:c>
      <x:c r="C736" t="s">
        <x:v>52</x:v>
      </x:c>
      <x:c r="D736" s="14">
        <x:v>44719</x:v>
      </x:c>
      <x:c r="E736" s="16">
        <x:v>1687</x:v>
      </x:c>
      <x:c r="F736" s="18">
        <x:v>236</x:v>
      </x:c>
    </x:row>
    <x:row r="737">
      <x:c r="A737" t="s">
        <x:v>19</x:v>
      </x:c>
      <x:c r="B737" t="s">
        <x:v>29</x:v>
      </x:c>
      <x:c r="C737" t="s">
        <x:v>47</x:v>
      </x:c>
      <x:c r="D737" s="14">
        <x:v>44770</x:v>
      </x:c>
      <x:c r="E737" s="16">
        <x:v>1309</x:v>
      </x:c>
      <x:c r="F737" s="18">
        <x:v>30</x:v>
      </x:c>
    </x:row>
    <x:row r="738">
      <x:c r="A738" t="s">
        <x:v>40</x:v>
      </x:c>
      <x:c r="B738" t="s">
        <x:v>26</x:v>
      </x:c>
      <x:c r="C738" t="s">
        <x:v>18</x:v>
      </x:c>
      <x:c r="D738" s="14">
        <x:v>44613</x:v>
      </x:c>
      <x:c r="E738" s="16">
        <x:v>9534</x:v>
      </x:c>
      <x:c r="F738" s="18">
        <x:v>111</x:v>
      </x:c>
    </x:row>
    <x:row r="739">
      <x:c r="A739" t="s">
        <x:v>43</x:v>
      </x:c>
      <x:c r="B739" t="s">
        <x:v>29</x:v>
      </x:c>
      <x:c r="C739" t="s">
        <x:v>8</x:v>
      </x:c>
      <x:c r="D739" s="14">
        <x:v>44659</x:v>
      </x:c>
      <x:c r="E739" s="16">
        <x:v>1694</x:v>
      </x:c>
      <x:c r="F739" s="18">
        <x:v>289</x:v>
      </x:c>
    </x:row>
    <x:row r="740">
      <x:c r="A740" t="s">
        <x:v>23</x:v>
      </x:c>
      <x:c r="B740" t="s">
        <x:v>7</x:v>
      </x:c>
      <x:c r="C740" t="s">
        <x:v>45</x:v>
      </x:c>
      <x:c r="D740" s="14">
        <x:v>44740</x:v>
      </x:c>
      <x:c r="E740" s="16">
        <x:v>70</x:v>
      </x:c>
      <x:c r="F740" s="18">
        <x:v>103</x:v>
      </x:c>
    </x:row>
    <x:row r="741">
      <x:c r="A741" t="s">
        <x:v>9</x:v>
      </x:c>
      <x:c r="B741" t="s">
        <x:v>7</x:v>
      </x:c>
      <x:c r="C741" t="s">
        <x:v>56</x:v>
      </x:c>
      <x:c r="D741" s="14">
        <x:v>44644</x:v>
      </x:c>
      <x:c r="E741" s="16">
        <x:v>2443</x:v>
      </x:c>
      <x:c r="F741" s="18">
        <x:v>20</x:v>
      </x:c>
    </x:row>
    <x:row r="742">
      <x:c r="A742" t="s">
        <x:v>25</x:v>
      </x:c>
      <x:c r="B742" t="s">
        <x:v>15</x:v>
      </x:c>
      <x:c r="C742" t="s">
        <x:v>57</x:v>
      </x:c>
      <x:c r="D742" s="14">
        <x:v>44771</x:v>
      </x:c>
      <x:c r="E742" s="16">
        <x:v>2933</x:v>
      </x:c>
      <x:c r="F742" s="18">
        <x:v>55</x:v>
      </x:c>
    </x:row>
    <x:row r="743">
      <x:c r="A743" t="s">
        <x:v>43</x:v>
      </x:c>
      <x:c r="B743" t="s">
        <x:v>26</x:v>
      </x:c>
      <x:c r="C743" t="s">
        <x:v>30</x:v>
      </x:c>
      <x:c r="D743" s="14">
        <x:v>44706</x:v>
      </x:c>
      <x:c r="E743" s="16">
        <x:v>2044</x:v>
      </x:c>
      <x:c r="F743" s="18">
        <x:v>90</x:v>
      </x:c>
    </x:row>
    <x:row r="744">
      <x:c r="A744" t="s">
        <x:v>12</x:v>
      </x:c>
      <x:c r="B744" t="s">
        <x:v>15</x:v>
      </x:c>
      <x:c r="C744" t="s">
        <x:v>51</x:v>
      </x:c>
      <x:c r="D744" s="14">
        <x:v>44650</x:v>
      </x:c>
      <x:c r="E744" s="16">
        <x:v>6524</x:v>
      </x:c>
      <x:c r="F744" s="18">
        <x:v>303</x:v>
      </x:c>
    </x:row>
    <x:row r="745">
      <x:c r="A745" t="s">
        <x:v>43</x:v>
      </x:c>
      <x:c r="B745" t="s">
        <x:v>26</x:v>
      </x:c>
      <x:c r="C745" t="s">
        <x:v>35</x:v>
      </x:c>
      <x:c r="D745" s="14">
        <x:v>44760</x:v>
      </x:c>
      <x:c r="E745" s="16">
        <x:v>12656</x:v>
      </x:c>
      <x:c r="F745" s="18">
        <x:v>126</x:v>
      </x:c>
    </x:row>
    <x:row r="746">
      <x:c r="A746" t="s">
        <x:v>34</x:v>
      </x:c>
      <x:c r="B746" t="s">
        <x:v>29</x:v>
      </x:c>
      <x:c r="C746" t="s">
        <x:v>27</x:v>
      </x:c>
      <x:c r="D746" s="14">
        <x:v>44691</x:v>
      </x:c>
      <x:c r="E746" s="16">
        <x:v>8722</x:v>
      </x:c>
      <x:c r="F746" s="18">
        <x:v>109</x:v>
      </x:c>
    </x:row>
    <x:row r="747">
      <x:c r="A747" t="s">
        <x:v>28</x:v>
      </x:c>
      <x:c r="B747" t="s">
        <x:v>15</x:v>
      </x:c>
      <x:c r="C747" t="s">
        <x:v>52</x:v>
      </x:c>
      <x:c r="D747" s="14">
        <x:v>44638</x:v>
      </x:c>
      <x:c r="E747" s="16">
        <x:v>15750</x:v>
      </x:c>
      <x:c r="F747" s="18">
        <x:v>92</x:v>
      </x:c>
    </x:row>
    <x:row r="748">
      <x:c r="A748" t="s">
        <x:v>55</x:v>
      </x:c>
      <x:c r="B748" t="s">
        <x:v>10</x:v>
      </x:c>
      <x:c r="C748" t="s">
        <x:v>57</x:v>
      </x:c>
      <x:c r="D748" s="14">
        <x:v>44727</x:v>
      </x:c>
      <x:c r="E748" s="16">
        <x:v>6839</x:v>
      </x:c>
      <x:c r="F748" s="18">
        <x:v>56</x:v>
      </x:c>
    </x:row>
    <x:row r="749">
      <x:c r="A749" t="s">
        <x:v>9</x:v>
      </x:c>
      <x:c r="B749" t="s">
        <x:v>29</x:v>
      </x:c>
      <x:c r="C749" t="s">
        <x:v>22</x:v>
      </x:c>
      <x:c r="D749" s="14">
        <x:v>44693</x:v>
      </x:c>
      <x:c r="E749" s="16">
        <x:v>13685</x:v>
      </x:c>
      <x:c r="F749" s="18">
        <x:v>58</x:v>
      </x:c>
    </x:row>
    <x:row r="750">
      <x:c r="A750" t="s">
        <x:v>49</x:v>
      </x:c>
      <x:c r="B750" t="s">
        <x:v>21</x:v>
      </x:c>
      <x:c r="C750" t="s">
        <x:v>56</x:v>
      </x:c>
      <x:c r="D750" s="14">
        <x:v>44735</x:v>
      </x:c>
      <x:c r="E750" s="16">
        <x:v>2912</x:v>
      </x:c>
      <x:c r="F750" s="18">
        <x:v>110</x:v>
      </x:c>
    </x:row>
    <x:row r="751">
      <x:c r="A751" t="s">
        <x:v>34</x:v>
      </x:c>
      <x:c r="B751" t="s">
        <x:v>10</x:v>
      </x:c>
      <x:c r="C751" t="s">
        <x:v>39</x:v>
      </x:c>
      <x:c r="D751" s="14">
        <x:v>44672</x:v>
      </x:c>
      <x:c r="E751" s="16">
        <x:v>3339</x:v>
      </x:c>
      <x:c r="F751" s="18">
        <x:v>171</x:v>
      </x:c>
    </x:row>
    <x:row r="752">
      <x:c r="A752" t="s">
        <x:v>12</x:v>
      </x:c>
      <x:c r="B752" t="s">
        <x:v>15</x:v>
      </x:c>
      <x:c r="C752" t="s">
        <x:v>47</x:v>
      </x:c>
      <x:c r="D752" s="14">
        <x:v>44790</x:v>
      </x:c>
      <x:c r="E752" s="16">
        <x:v>910</x:v>
      </x:c>
      <x:c r="F752" s="18">
        <x:v>117</x:v>
      </x:c>
    </x:row>
    <x:row r="753">
      <x:c r="A753" t="s">
        <x:v>24</x:v>
      </x:c>
      <x:c r="B753" t="s">
        <x:v>21</x:v>
      </x:c>
      <x:c r="C753" t="s">
        <x:v>30</x:v>
      </x:c>
      <x:c r="D753" s="14">
        <x:v>44599</x:v>
      </x:c>
      <x:c r="E753" s="16">
        <x:v>19481</x:v>
      </x:c>
      <x:c r="F753" s="18">
        <x:v>51</x:v>
      </x:c>
    </x:row>
    <x:row r="754">
      <x:c r="A754" t="s">
        <x:v>49</x:v>
      </x:c>
      <x:c r="B754" t="s">
        <x:v>29</x:v>
      </x:c>
      <x:c r="C754" t="s">
        <x:v>16</x:v>
      </x:c>
      <x:c r="D754" s="14">
        <x:v>44637</x:v>
      </x:c>
      <x:c r="E754" s="16">
        <x:v>8099</x:v>
      </x:c>
      <x:c r="F754" s="18">
        <x:v>118</x:v>
      </x:c>
    </x:row>
    <x:row r="755">
      <x:c r="A755" t="s">
        <x:v>14</x:v>
      </x:c>
      <x:c r="B755" t="s">
        <x:v>10</x:v>
      </x:c>
      <x:c r="C755" t="s">
        <x:v>56</x:v>
      </x:c>
      <x:c r="D755" s="14">
        <x:v>44774</x:v>
      </x:c>
      <x:c r="E755" s="16">
        <x:v>13727</x:v>
      </x:c>
      <x:c r="F755" s="18">
        <x:v>79</x:v>
      </x:c>
    </x:row>
    <x:row r="756">
      <x:c r="A756" t="s">
        <x:v>6</x:v>
      </x:c>
      <x:c r="B756" t="s">
        <x:v>15</x:v>
      </x:c>
      <x:c r="C756" t="s">
        <x:v>37</x:v>
      </x:c>
      <x:c r="D756" s="14">
        <x:v>44638</x:v>
      </x:c>
      <x:c r="E756" s="16">
        <x:v>8659</x:v>
      </x:c>
      <x:c r="F756" s="18">
        <x:v>29</x:v>
      </x:c>
    </x:row>
    <x:row r="757">
      <x:c r="A757" t="s">
        <x:v>12</x:v>
      </x:c>
      <x:c r="B757" t="s">
        <x:v>29</x:v>
      </x:c>
      <x:c r="C757" t="s">
        <x:v>42</x:v>
      </x:c>
      <x:c r="D757" s="14">
        <x:v>44726</x:v>
      </x:c>
      <x:c r="E757" s="16">
        <x:v>5782</x:v>
      </x:c>
      <x:c r="F757" s="18">
        <x:v>103</x:v>
      </x:c>
    </x:row>
    <x:row r="758">
      <x:c r="A758" t="s">
        <x:v>34</x:v>
      </x:c>
      <x:c r="B758" t="s">
        <x:v>7</x:v>
      </x:c>
      <x:c r="C758" t="s">
        <x:v>30</x:v>
      </x:c>
      <x:c r="D758" s="14">
        <x:v>44673</x:v>
      </x:c>
      <x:c r="E758" s="16">
        <x:v>8463</x:v>
      </x:c>
      <x:c r="F758" s="18">
        <x:v>155</x:v>
      </x:c>
    </x:row>
    <x:row r="759">
      <x:c r="A759" t="s">
        <x:v>33</x:v>
      </x:c>
      <x:c r="B759" t="s">
        <x:v>21</x:v>
      </x:c>
      <x:c r="C759" t="s">
        <x:v>30</x:v>
      </x:c>
      <x:c r="D759" s="14">
        <x:v>44579</x:v>
      </x:c>
      <x:c r="E759" s="16">
        <x:v>4914</x:v>
      </x:c>
      <x:c r="F759" s="18">
        <x:v>31</x:v>
      </x:c>
    </x:row>
    <x:row r="760">
      <x:c r="A760" t="s">
        <x:v>40</x:v>
      </x:c>
      <x:c r="B760" t="s">
        <x:v>15</x:v>
      </x:c>
      <x:c r="C760" t="s">
        <x:v>18</x:v>
      </x:c>
      <x:c r="D760" s="14">
        <x:v>44799</x:v>
      </x:c>
      <x:c r="E760" s="16">
        <x:v>3087</x:v>
      </x:c>
      <x:c r="F760" s="18">
        <x:v>128</x:v>
      </x:c>
    </x:row>
    <x:row r="761">
      <x:c r="A761" t="s">
        <x:v>19</x:v>
      </x:c>
      <x:c r="B761" t="s">
        <x:v>21</x:v>
      </x:c>
      <x:c r="C761" t="s">
        <x:v>42</x:v>
      </x:c>
      <x:c r="D761" s="14">
        <x:v>44722</x:v>
      </x:c>
      <x:c r="E761" s="16">
        <x:v>9205</x:v>
      </x:c>
      <x:c r="F761" s="18">
        <x:v>419</x:v>
      </x:c>
    </x:row>
    <x:row r="762">
      <x:c r="A762" t="s">
        <x:v>38</x:v>
      </x:c>
      <x:c r="B762" t="s">
        <x:v>29</x:v>
      </x:c>
      <x:c r="C762" t="s">
        <x:v>58</x:v>
      </x:c>
      <x:c r="D762" s="14">
        <x:v>44592</x:v>
      </x:c>
      <x:c r="E762" s="16">
        <x:v>2303</x:v>
      </x:c>
      <x:c r="F762" s="18">
        <x:v>7</x:v>
      </x:c>
    </x:row>
    <x:row r="763">
      <x:c r="A763" t="s">
        <x:v>49</x:v>
      </x:c>
      <x:c r="B763" t="s">
        <x:v>21</x:v>
      </x:c>
      <x:c r="C763" t="s">
        <x:v>45</x:v>
      </x:c>
      <x:c r="D763" s="14">
        <x:v>44659</x:v>
      </x:c>
      <x:c r="E763" s="16">
        <x:v>1358</x:v>
      </x:c>
      <x:c r="F763" s="18">
        <x:v>106</x:v>
      </x:c>
    </x:row>
    <x:row r="764">
      <x:c r="A764" t="s">
        <x:v>54</x:v>
      </x:c>
      <x:c r="B764" t="s">
        <x:v>15</x:v>
      </x:c>
      <x:c r="C764" t="s">
        <x:v>56</x:v>
      </x:c>
      <x:c r="D764" s="14">
        <x:v>44719</x:v>
      </x:c>
      <x:c r="E764" s="16">
        <x:v>3605</x:v>
      </x:c>
      <x:c r="F764" s="18">
        <x:v>68</x:v>
      </x:c>
    </x:row>
    <x:row r="765">
      <x:c r="A765" t="s">
        <x:v>25</x:v>
      </x:c>
      <x:c r="B765" t="s">
        <x:v>15</x:v>
      </x:c>
      <x:c r="C765" t="s">
        <x:v>11</x:v>
      </x:c>
      <x:c r="D765" s="14">
        <x:v>44602</x:v>
      </x:c>
      <x:c r="E765" s="16">
        <x:v>8498</x:v>
      </x:c>
      <x:c r="F765" s="18">
        <x:v>44</x:v>
      </x:c>
    </x:row>
    <x:row r="766">
      <x:c r="A766" t="s">
        <x:v>34</x:v>
      </x:c>
      <x:c r="B766" t="s">
        <x:v>15</x:v>
      </x:c>
      <x:c r="C766" t="s">
        <x:v>22</x:v>
      </x:c>
      <x:c r="D766" s="14">
        <x:v>44697</x:v>
      </x:c>
      <x:c r="E766" s="16">
        <x:v>700</x:v>
      </x:c>
      <x:c r="F766" s="18">
        <x:v>457</x:v>
      </x:c>
    </x:row>
    <x:row r="767">
      <x:c r="A767" t="s">
        <x:v>19</x:v>
      </x:c>
      <x:c r="B767" t="s">
        <x:v>10</x:v>
      </x:c>
      <x:c r="C767" t="s">
        <x:v>56</x:v>
      </x:c>
      <x:c r="D767" s="14">
        <x:v>44638</x:v>
      </x:c>
      <x:c r="E767" s="16">
        <x:v>2191</x:v>
      </x:c>
      <x:c r="F767" s="18">
        <x:v>524</x:v>
      </x:c>
    </x:row>
    <x:row r="768">
      <x:c r="A768" t="s">
        <x:v>9</x:v>
      </x:c>
      <x:c r="B768" t="s">
        <x:v>15</x:v>
      </x:c>
      <x:c r="C768" t="s">
        <x:v>22</x:v>
      </x:c>
      <x:c r="D768" s="14">
        <x:v>44755</x:v>
      </x:c>
      <x:c r="E768" s="16">
        <x:v>644</x:v>
      </x:c>
      <x:c r="F768" s="18">
        <x:v>137</x:v>
      </x:c>
    </x:row>
    <x:row r="769">
      <x:c r="A769" t="s">
        <x:v>17</x:v>
      </x:c>
      <x:c r="B769" t="s">
        <x:v>26</x:v>
      </x:c>
      <x:c r="C769" t="s">
        <x:v>45</x:v>
      </x:c>
      <x:c r="D769" s="14">
        <x:v>44767</x:v>
      </x:c>
      <x:c r="E769" s="16">
        <x:v>4340</x:v>
      </x:c>
      <x:c r="F769" s="18">
        <x:v>86</x:v>
      </x:c>
    </x:row>
    <x:row r="770">
      <x:c r="A770" t="s">
        <x:v>9</x:v>
      </x:c>
      <x:c r="B770" t="s">
        <x:v>29</x:v>
      </x:c>
      <x:c r="C770" t="s">
        <x:v>52</x:v>
      </x:c>
      <x:c r="D770" s="14">
        <x:v>44792</x:v>
      </x:c>
      <x:c r="E770" s="16">
        <x:v>2282</x:v>
      </x:c>
      <x:c r="F770" s="18">
        <x:v>296</x:v>
      </x:c>
    </x:row>
    <x:row r="771">
      <x:c r="A771" t="s">
        <x:v>31</x:v>
      </x:c>
      <x:c r="B771" t="s">
        <x:v>29</x:v>
      </x:c>
      <x:c r="C771" t="s">
        <x:v>58</x:v>
      </x:c>
      <x:c r="D771" s="14">
        <x:v>44736</x:v>
      </x:c>
      <x:c r="E771" s="16">
        <x:v>7714</x:v>
      </x:c>
      <x:c r="F771" s="18">
        <x:v>597</x:v>
      </x:c>
    </x:row>
    <x:row r="772">
      <x:c r="A772" t="s">
        <x:v>49</x:v>
      </x:c>
      <x:c r="B772" t="s">
        <x:v>29</x:v>
      </x:c>
      <x:c r="C772" t="s">
        <x:v>42</x:v>
      </x:c>
      <x:c r="D772" s="14">
        <x:v>44732</x:v>
      </x:c>
      <x:c r="E772" s="16">
        <x:v>826</x:v>
      </x:c>
      <x:c r="F772" s="18">
        <x:v>149</x:v>
      </x:c>
    </x:row>
    <x:row r="773">
      <x:c r="A773" t="s">
        <x:v>50</x:v>
      </x:c>
      <x:c r="B773" t="s">
        <x:v>10</x:v>
      </x:c>
      <x:c r="C773" t="s">
        <x:v>18</x:v>
      </x:c>
      <x:c r="D773" s="14">
        <x:v>44775</x:v>
      </x:c>
      <x:c r="E773" s="16">
        <x:v>203</x:v>
      </x:c>
      <x:c r="F773" s="18">
        <x:v>207</x:v>
      </x:c>
    </x:row>
    <x:row r="774">
      <x:c r="A774" t="s">
        <x:v>53</x:v>
      </x:c>
      <x:c r="B774" t="s">
        <x:v>21</x:v>
      </x:c>
      <x:c r="C774" t="s">
        <x:v>58</x:v>
      </x:c>
      <x:c r="D774" s="14">
        <x:v>44614</x:v>
      </x:c>
      <x:c r="E774" s="16">
        <x:v>13356</x:v>
      </x:c>
      <x:c r="F774" s="18">
        <x:v>93</x:v>
      </x:c>
    </x:row>
    <x:row r="775">
      <x:c r="A775" t="s">
        <x:v>28</x:v>
      </x:c>
      <x:c r="B775" t="s">
        <x:v>21</x:v>
      </x:c>
      <x:c r="C775" t="s">
        <x:v>27</x:v>
      </x:c>
      <x:c r="D775" s="14">
        <x:v>44593</x:v>
      </x:c>
      <x:c r="E775" s="16">
        <x:v>6510</x:v>
      </x:c>
      <x:c r="F775" s="18">
        <x:v>23</x:v>
      </x:c>
    </x:row>
    <x:row r="776">
      <x:c r="A776" t="s">
        <x:v>14</x:v>
      </x:c>
      <x:c r="B776" t="s">
        <x:v>29</x:v>
      </x:c>
      <x:c r="C776" t="s">
        <x:v>58</x:v>
      </x:c>
      <x:c r="D776" s="14">
        <x:v>44606</x:v>
      </x:c>
      <x:c r="E776" s="16">
        <x:v>5894</x:v>
      </x:c>
      <x:c r="F776" s="18">
        <x:v>305</x:v>
      </x:c>
    </x:row>
    <x:row r="777">
      <x:c r="A777" t="s">
        <x:v>49</x:v>
      </x:c>
      <x:c r="B777" t="s">
        <x:v>15</x:v>
      </x:c>
      <x:c r="C777" t="s">
        <x:v>37</x:v>
      </x:c>
      <x:c r="D777" s="14">
        <x:v>44616</x:v>
      </x:c>
      <x:c r="E777" s="16">
        <x:v>7910</x:v>
      </x:c>
      <x:c r="F777" s="18">
        <x:v>125</x:v>
      </x:c>
    </x:row>
    <x:row r="778">
      <x:c r="A778" t="s">
        <x:v>43</x:v>
      </x:c>
      <x:c r="B778" t="s">
        <x:v>10</x:v>
      </x:c>
      <x:c r="C778" t="s">
        <x:v>27</x:v>
      </x:c>
      <x:c r="D778" s="14">
        <x:v>44638</x:v>
      </x:c>
      <x:c r="E778" s="16">
        <x:v>784</x:v>
      </x:c>
      <x:c r="F778" s="18">
        <x:v>129</x:v>
      </x:c>
    </x:row>
    <x:row r="779">
      <x:c r="A779" t="s">
        <x:v>40</x:v>
      </x:c>
      <x:c r="B779" t="s">
        <x:v>7</x:v>
      </x:c>
      <x:c r="C779" t="s">
        <x:v>30</x:v>
      </x:c>
      <x:c r="D779" s="14">
        <x:v>44803</x:v>
      </x:c>
      <x:c r="E779" s="16">
        <x:v>1750</x:v>
      </x:c>
      <x:c r="F779" s="18">
        <x:v>252</x:v>
      </x:c>
    </x:row>
    <x:row r="780">
      <x:c r="A780" t="s">
        <x:v>12</x:v>
      </x:c>
      <x:c r="B780" t="s">
        <x:v>26</x:v>
      </x:c>
      <x:c r="C780" t="s">
        <x:v>13</x:v>
      </x:c>
      <x:c r="D780" s="14">
        <x:v>44690</x:v>
      </x:c>
      <x:c r="E780" s="16">
        <x:v>280</x:v>
      </x:c>
      <x:c r="F780" s="18">
        <x:v>75</x:v>
      </x:c>
    </x:row>
    <x:row r="781">
      <x:c r="A781" t="s">
        <x:v>46</x:v>
      </x:c>
      <x:c r="B781" t="s">
        <x:v>26</x:v>
      </x:c>
      <x:c r="C781" t="s">
        <x:v>16</x:v>
      </x:c>
      <x:c r="D781" s="14">
        <x:v>44579</x:v>
      </x:c>
      <x:c r="E781" s="16">
        <x:v>504</x:v>
      </x:c>
      <x:c r="F781" s="18">
        <x:v>87</x:v>
      </x:c>
    </x:row>
    <x:row r="782">
      <x:c r="A782" t="s">
        <x:v>38</x:v>
      </x:c>
      <x:c r="B782" t="s">
        <x:v>10</x:v>
      </x:c>
      <x:c r="C782" t="s">
        <x:v>44</x:v>
      </x:c>
      <x:c r="D782" s="14">
        <x:v>44746</x:v>
      </x:c>
      <x:c r="E782" s="16">
        <x:v>7154</x:v>
      </x:c>
      <x:c r="F782" s="18">
        <x:v>342</x:v>
      </x:c>
    </x:row>
    <x:row r="783">
      <x:c r="A783" t="s">
        <x:v>17</x:v>
      </x:c>
      <x:c r="B783" t="s">
        <x:v>21</x:v>
      </x:c>
      <x:c r="C783" t="s">
        <x:v>39</x:v>
      </x:c>
      <x:c r="D783" s="14">
        <x:v>44715</x:v>
      </x:c>
      <x:c r="E783" s="16">
        <x:v>1617</x:v>
      </x:c>
      <x:c r="F783" s="18">
        <x:v>13</x:v>
      </x:c>
    </x:row>
    <x:row r="784">
      <x:c r="A784" t="s">
        <x:v>34</x:v>
      </x:c>
      <x:c r="B784" t="s">
        <x:v>21</x:v>
      </x:c>
      <x:c r="C784" t="s">
        <x:v>13</x:v>
      </x:c>
      <x:c r="D784" s="14">
        <x:v>44615</x:v>
      </x:c>
      <x:c r="E784" s="16">
        <x:v>10822</x:v>
      </x:c>
      <x:c r="F784" s="18">
        <x:v>30</x:v>
      </x:c>
    </x:row>
    <x:row r="785">
      <x:c r="A785" t="s">
        <x:v>54</x:v>
      </x:c>
      <x:c r="B785" t="s">
        <x:v>21</x:v>
      </x:c>
      <x:c r="C785" t="s">
        <x:v>18</x:v>
      </x:c>
      <x:c r="D785" s="14">
        <x:v>44690</x:v>
      </x:c>
      <x:c r="E785" s="16">
        <x:v>10724</x:v>
      </x:c>
      <x:c r="F785" s="18">
        <x:v>203</x:v>
      </x:c>
    </x:row>
    <x:row r="786">
      <x:c r="A786" t="s">
        <x:v>49</x:v>
      </x:c>
      <x:c r="B786" t="s">
        <x:v>10</x:v>
      </x:c>
      <x:c r="C786" t="s">
        <x:v>58</x:v>
      </x:c>
      <x:c r="D786" s="14">
        <x:v>44718</x:v>
      </x:c>
      <x:c r="E786" s="16">
        <x:v>3640</x:v>
      </x:c>
      <x:c r="F786" s="18">
        <x:v>106</x:v>
      </x:c>
    </x:row>
    <x:row r="787">
      <x:c r="A787" t="s">
        <x:v>49</x:v>
      </x:c>
      <x:c r="B787" t="s">
        <x:v>10</x:v>
      </x:c>
      <x:c r="C787" t="s">
        <x:v>32</x:v>
      </x:c>
      <x:c r="D787" s="14">
        <x:v>44746</x:v>
      </x:c>
      <x:c r="E787" s="16">
        <x:v>7532</x:v>
      </x:c>
      <x:c r="F787" s="18">
        <x:v>234</x:v>
      </x:c>
    </x:row>
    <x:row r="788">
      <x:c r="A788" t="s">
        <x:v>23</x:v>
      </x:c>
      <x:c r="B788" t="s">
        <x:v>21</x:v>
      </x:c>
      <x:c r="C788" t="s">
        <x:v>32</x:v>
      </x:c>
      <x:c r="D788" s="14">
        <x:v>44718</x:v>
      </x:c>
      <x:c r="E788" s="16">
        <x:v>1582</x:v>
      </x:c>
      <x:c r="F788" s="18">
        <x:v>100</x:v>
      </x:c>
    </x:row>
    <x:row r="789">
      <x:c r="A789" t="s">
        <x:v>54</x:v>
      </x:c>
      <x:c r="B789" t="s">
        <x:v>15</x:v>
      </x:c>
      <x:c r="C789" t="s">
        <x:v>47</x:v>
      </x:c>
      <x:c r="D789" s="14">
        <x:v>44694</x:v>
      </x:c>
      <x:c r="E789" s="16">
        <x:v>1456</x:v>
      </x:c>
      <x:c r="F789" s="18">
        <x:v>91</x:v>
      </x:c>
    </x:row>
    <x:row r="790">
      <x:c r="A790" t="s">
        <x:v>46</x:v>
      </x:c>
      <x:c r="B790" t="s">
        <x:v>21</x:v>
      </x:c>
      <x:c r="C790" t="s">
        <x:v>35</x:v>
      </x:c>
      <x:c r="D790" s="14">
        <x:v>44592</x:v>
      </x:c>
      <x:c r="E790" s="16">
        <x:v>2016</x:v>
      </x:c>
      <x:c r="F790" s="18">
        <x:v>277</x:v>
      </x:c>
    </x:row>
    <x:row r="791">
      <x:c r="A791" t="s">
        <x:v>55</x:v>
      </x:c>
      <x:c r="B791" t="s">
        <x:v>21</x:v>
      </x:c>
      <x:c r="C791" t="s">
        <x:v>57</x:v>
      </x:c>
      <x:c r="D791" s="14">
        <x:v>44742</x:v>
      </x:c>
      <x:c r="E791" s="16">
        <x:v>7588</x:v>
      </x:c>
      <x:c r="F791" s="18">
        <x:v>42</x:v>
      </x:c>
    </x:row>
    <x:row r="792">
      <x:c r="A792" t="s">
        <x:v>25</x:v>
      </x:c>
      <x:c r="B792" t="s">
        <x:v>29</x:v>
      </x:c>
      <x:c r="C792" t="s">
        <x:v>45</x:v>
      </x:c>
      <x:c r="D792" s="14">
        <x:v>44798</x:v>
      </x:c>
      <x:c r="E792" s="16">
        <x:v>3402</x:v>
      </x:c>
      <x:c r="F792" s="18">
        <x:v>249</x:v>
      </x:c>
    </x:row>
    <x:row r="793">
      <x:c r="A793" t="s">
        <x:v>12</x:v>
      </x:c>
      <x:c r="B793" t="s">
        <x:v>21</x:v>
      </x:c>
      <x:c r="C793" t="s">
        <x:v>16</x:v>
      </x:c>
      <x:c r="D793" s="14">
        <x:v>44571</x:v>
      </x:c>
      <x:c r="E793" s="16">
        <x:v>700</x:v>
      </x:c>
      <x:c r="F793" s="18">
        <x:v>97</x:v>
      </x:c>
    </x:row>
    <x:row r="794">
      <x:c r="A794" t="s">
        <x:v>23</x:v>
      </x:c>
      <x:c r="B794" t="s">
        <x:v>26</x:v>
      </x:c>
      <x:c r="C794" t="s">
        <x:v>45</x:v>
      </x:c>
      <x:c r="D794" s="14">
        <x:v>44795</x:v>
      </x:c>
      <x:c r="E794" s="16">
        <x:v>1904</x:v>
      </x:c>
      <x:c r="F794" s="18">
        <x:v>8</x:v>
      </x:c>
    </x:row>
    <x:row r="795">
      <x:c r="A795" t="s">
        <x:v>36</x:v>
      </x:c>
      <x:c r="B795" t="s">
        <x:v>21</x:v>
      </x:c>
      <x:c r="C795" t="s">
        <x:v>11</x:v>
      </x:c>
      <x:c r="D795" s="14">
        <x:v>44665</x:v>
      </x:c>
      <x:c r="E795" s="16">
        <x:v>4844</x:v>
      </x:c>
      <x:c r="F795" s="18">
        <x:v>275</x:v>
      </x:c>
    </x:row>
    <x:row r="796">
      <x:c r="A796" t="s">
        <x:v>17</x:v>
      </x:c>
      <x:c r="B796" t="s">
        <x:v>7</x:v>
      </x:c>
      <x:c r="C796" t="s">
        <x:v>16</x:v>
      </x:c>
      <x:c r="D796" s="14">
        <x:v>44712</x:v>
      </x:c>
      <x:c r="E796" s="16">
        <x:v>9625</x:v>
      </x:c>
      <x:c r="F796" s="18">
        <x:v>313</x:v>
      </x:c>
    </x:row>
    <x:row r="797">
      <x:c r="A797" t="s">
        <x:v>17</x:v>
      </x:c>
      <x:c r="B797" t="s">
        <x:v>7</x:v>
      </x:c>
      <x:c r="C797" t="s">
        <x:v>51</x:v>
      </x:c>
      <x:c r="D797" s="14">
        <x:v>44659</x:v>
      </x:c>
      <x:c r="E797" s="16">
        <x:v>4599</x:v>
      </x:c>
      <x:c r="F797" s="18">
        <x:v>323</x:v>
      </x:c>
    </x:row>
    <x:row r="798">
      <x:c r="A798" t="s">
        <x:v>36</x:v>
      </x:c>
      <x:c r="B798" t="s">
        <x:v>26</x:v>
      </x:c>
      <x:c r="C798" t="s">
        <x:v>32</x:v>
      </x:c>
      <x:c r="D798" s="14">
        <x:v>44613</x:v>
      </x:c>
      <x:c r="E798" s="16">
        <x:v>3003</x:v>
      </x:c>
      <x:c r="F798" s="18">
        <x:v>155</x:v>
      </x:c>
    </x:row>
    <x:row r="799">
      <x:c r="A799" t="s">
        <x:v>48</x:v>
      </x:c>
      <x:c r="B799" t="s">
        <x:v>15</x:v>
      </x:c>
      <x:c r="C799" t="s">
        <x:v>45</x:v>
      </x:c>
      <x:c r="D799" s="14">
        <x:v>44650</x:v>
      </x:c>
      <x:c r="E799" s="16">
        <x:v>9744</x:v>
      </x:c>
      <x:c r="F799" s="18">
        <x:v>377</x:v>
      </x:c>
    </x:row>
    <x:row r="800">
      <x:c r="A800" t="s">
        <x:v>28</x:v>
      </x:c>
      <x:c r="B800" t="s">
        <x:v>10</x:v>
      </x:c>
      <x:c r="C800" t="s">
        <x:v>51</x:v>
      </x:c>
      <x:c r="D800" s="14">
        <x:v>44622</x:v>
      </x:c>
      <x:c r="E800" s="16">
        <x:v>1400</x:v>
      </x:c>
      <x:c r="F800" s="18">
        <x:v>2</x:v>
      </x:c>
    </x:row>
    <x:row r="801">
      <x:c r="A801" t="s">
        <x:v>6</x:v>
      </x:c>
      <x:c r="B801" t="s">
        <x:v>26</x:v>
      </x:c>
      <x:c r="C801" t="s">
        <x:v>27</x:v>
      </x:c>
      <x:c r="D801" s="14">
        <x:v>44770</x:v>
      </x:c>
      <x:c r="E801" s="16">
        <x:v>364</x:v>
      </x:c>
      <x:c r="F801" s="18">
        <x:v>170</x:v>
      </x:c>
    </x:row>
    <x:row r="802">
      <x:c r="A802" t="s">
        <x:v>41</x:v>
      </x:c>
      <x:c r="B802" t="s">
        <x:v>21</x:v>
      </x:c>
      <x:c r="C802" t="s">
        <x:v>58</x:v>
      </x:c>
      <x:c r="D802" s="14">
        <x:v>44644</x:v>
      </x:c>
      <x:c r="E802" s="16">
        <x:v>7231</x:v>
      </x:c>
      <x:c r="F802" s="18">
        <x:v>38</x:v>
      </x:c>
    </x:row>
    <x:row r="803">
      <x:c r="A803" t="s">
        <x:v>38</x:v>
      </x:c>
      <x:c r="B803" t="s">
        <x:v>15</x:v>
      </x:c>
      <x:c r="C803" t="s">
        <x:v>20</x:v>
      </x:c>
      <x:c r="D803" s="14">
        <x:v>44784</x:v>
      </x:c>
      <x:c r="E803" s="16">
        <x:v>63</x:v>
      </x:c>
      <x:c r="F803" s="18">
        <x:v>105</x:v>
      </x:c>
    </x:row>
    <x:row r="804">
      <x:c r="A804" t="s">
        <x:v>40</x:v>
      </x:c>
      <x:c r="B804" t="s">
        <x:v>7</x:v>
      </x:c>
      <x:c r="C804" t="s">
        <x:v>47</x:v>
      </x:c>
      <x:c r="D804" s="14">
        <x:v>44698</x:v>
      </x:c>
      <x:c r="E804" s="16">
        <x:v>8309</x:v>
      </x:c>
      <x:c r="F804" s="18">
        <x:v>166</x:v>
      </x:c>
    </x:row>
    <x:row r="805">
      <x:c r="A805" t="s">
        <x:v>41</x:v>
      </x:c>
      <x:c r="B805" t="s">
        <x:v>29</x:v>
      </x:c>
      <x:c r="C805" t="s">
        <x:v>52</x:v>
      </x:c>
      <x:c r="D805" s="14">
        <x:v>44699</x:v>
      </x:c>
      <x:c r="E805" s="16">
        <x:v>3164</x:v>
      </x:c>
      <x:c r="F805" s="18">
        <x:v>164</x:v>
      </x:c>
    </x:row>
    <x:row r="806">
      <x:c r="A806" t="s">
        <x:v>36</x:v>
      </x:c>
      <x:c r="B806" t="s">
        <x:v>7</x:v>
      </x:c>
      <x:c r="C806" t="s">
        <x:v>13</x:v>
      </x:c>
      <x:c r="D806" s="14">
        <x:v>44790</x:v>
      </x:c>
      <x:c r="E806" s="16">
        <x:v>5691</x:v>
      </x:c>
      <x:c r="F806" s="18">
        <x:v>171</x:v>
      </x:c>
    </x:row>
    <x:row r="807">
      <x:c r="A807" t="s">
        <x:v>55</x:v>
      </x:c>
      <x:c r="B807" t="s">
        <x:v>21</x:v>
      </x:c>
      <x:c r="C807" t="s">
        <x:v>30</x:v>
      </x:c>
      <x:c r="D807" s="14">
        <x:v>44655</x:v>
      </x:c>
      <x:c r="E807" s="16">
        <x:v>490</x:v>
      </x:c>
      <x:c r="F807" s="18">
        <x:v>49</x:v>
      </x:c>
    </x:row>
    <x:row r="808">
      <x:c r="A808" t="s">
        <x:v>23</x:v>
      </x:c>
      <x:c r="B808" t="s">
        <x:v>10</x:v>
      </x:c>
      <x:c r="C808" t="s">
        <x:v>11</x:v>
      </x:c>
      <x:c r="D808" s="14">
        <x:v>44782</x:v>
      </x:c>
      <x:c r="E808" s="16">
        <x:v>18032</x:v>
      </x:c>
      <x:c r="F808" s="18">
        <x:v>205</x:v>
      </x:c>
    </x:row>
    <x:row r="809">
      <x:c r="A809" t="s">
        <x:v>23</x:v>
      </x:c>
      <x:c r="B809" t="s">
        <x:v>21</x:v>
      </x:c>
      <x:c r="C809" t="s">
        <x:v>35</x:v>
      </x:c>
      <x:c r="D809" s="14">
        <x:v>44578</x:v>
      </x:c>
      <x:c r="E809" s="16">
        <x:v>637</x:v>
      </x:c>
      <x:c r="F809" s="18">
        <x:v>313</x:v>
      </x:c>
    </x:row>
    <x:row r="810">
      <x:c r="A810" t="s">
        <x:v>48</x:v>
      </x:c>
      <x:c r="B810" t="s">
        <x:v>29</x:v>
      </x:c>
      <x:c r="C810" t="s">
        <x:v>44</x:v>
      </x:c>
      <x:c r="D810" s="14">
        <x:v>44606</x:v>
      </x:c>
      <x:c r="E810" s="16">
        <x:v>4067</x:v>
      </x:c>
      <x:c r="F810" s="18">
        <x:v>29</x:v>
      </x:c>
    </x:row>
    <x:row r="811">
      <x:c r="A811" t="s">
        <x:v>12</x:v>
      </x:c>
      <x:c r="B811" t="s">
        <x:v>21</x:v>
      </x:c>
      <x:c r="C811" t="s">
        <x:v>27</x:v>
      </x:c>
      <x:c r="D811" s="14">
        <x:v>44697</x:v>
      </x:c>
      <x:c r="E811" s="16">
        <x:v>8204</x:v>
      </x:c>
      <x:c r="F811" s="18">
        <x:v>307</x:v>
      </x:c>
    </x:row>
    <x:row r="812">
      <x:c r="A812" t="s">
        <x:v>55</x:v>
      </x:c>
      <x:c r="B812" t="s">
        <x:v>29</x:v>
      </x:c>
      <x:c r="C812" t="s">
        <x:v>16</x:v>
      </x:c>
      <x:c r="D812" s="14">
        <x:v>44636</x:v>
      </x:c>
      <x:c r="E812" s="16">
        <x:v>9870</x:v>
      </x:c>
      <x:c r="F812" s="18">
        <x:v>121</x:v>
      </x:c>
    </x:row>
    <x:row r="813">
      <x:c r="A813" t="s">
        <x:v>40</x:v>
      </x:c>
      <x:c r="B813" t="s">
        <x:v>29</x:v>
      </x:c>
      <x:c r="C813" t="s">
        <x:v>58</x:v>
      </x:c>
      <x:c r="D813" s="14">
        <x:v>44592</x:v>
      </x:c>
      <x:c r="E813" s="16">
        <x:v>5131</x:v>
      </x:c>
      <x:c r="F813" s="18">
        <x:v>285</x:v>
      </x:c>
    </x:row>
    <x:row r="814">
      <x:c r="A814" t="s">
        <x:v>25</x:v>
      </x:c>
      <x:c r="B814" t="s">
        <x:v>29</x:v>
      </x:c>
      <x:c r="C814" t="s">
        <x:v>35</x:v>
      </x:c>
      <x:c r="D814" s="14">
        <x:v>44630</x:v>
      </x:c>
      <x:c r="E814" s="16">
        <x:v>1141</x:v>
      </x:c>
      <x:c r="F814" s="18">
        <x:v>205</x:v>
      </x:c>
    </x:row>
    <x:row r="815">
      <x:c r="A815" t="s">
        <x:v>17</x:v>
      </x:c>
      <x:c r="B815" t="s">
        <x:v>7</x:v>
      </x:c>
      <x:c r="C815" t="s">
        <x:v>35</x:v>
      </x:c>
      <x:c r="D815" s="14">
        <x:v>44742</x:v>
      </x:c>
      <x:c r="E815" s="16">
        <x:v>7980</x:v>
      </x:c>
      <x:c r="F815" s="18">
        <x:v>157</x:v>
      </x:c>
    </x:row>
    <x:row r="816">
      <x:c r="A816" t="s">
        <x:v>9</x:v>
      </x:c>
      <x:c r="B816" t="s">
        <x:v>21</x:v>
      </x:c>
      <x:c r="C816" t="s">
        <x:v>30</x:v>
      </x:c>
      <x:c r="D816" s="14">
        <x:v>44621</x:v>
      </x:c>
      <x:c r="E816" s="16">
        <x:v>5229</x:v>
      </x:c>
      <x:c r="F816" s="18">
        <x:v>182</x:v>
      </x:c>
    </x:row>
    <x:row r="817">
      <x:c r="A817" t="s">
        <x:v>28</x:v>
      </x:c>
      <x:c r="B817" t="s">
        <x:v>7</x:v>
      </x:c>
      <x:c r="C817" t="s">
        <x:v>32</x:v>
      </x:c>
      <x:c r="D817" s="14">
        <x:v>44708</x:v>
      </x:c>
      <x:c r="E817" s="16">
        <x:v>3423</x:v>
      </x:c>
      <x:c r="F817" s="18">
        <x:v>100</x:v>
      </x:c>
    </x:row>
    <x:row r="818">
      <x:c r="A818" t="s">
        <x:v>17</x:v>
      </x:c>
      <x:c r="B818" t="s">
        <x:v>7</x:v>
      </x:c>
      <x:c r="C818" t="s">
        <x:v>37</x:v>
      </x:c>
      <x:c r="D818" s="14">
        <x:v>44753</x:v>
      </x:c>
      <x:c r="E818" s="16">
        <x:v>6468</x:v>
      </x:c>
      <x:c r="F818" s="18">
        <x:v>223</x:v>
      </x:c>
    </x:row>
    <x:row r="819">
      <x:c r="A819" t="s">
        <x:v>31</x:v>
      </x:c>
      <x:c r="B819" t="s">
        <x:v>21</x:v>
      </x:c>
      <x:c r="C819" t="s">
        <x:v>8</x:v>
      </x:c>
      <x:c r="D819" s="14">
        <x:v>44622</x:v>
      </x:c>
      <x:c r="E819" s="16">
        <x:v>4326</x:v>
      </x:c>
      <x:c r="F819" s="18">
        <x:v>61</x:v>
      </x:c>
    </x:row>
    <x:row r="820">
      <x:c r="A820" t="s">
        <x:v>6</x:v>
      </x:c>
      <x:c r="B820" t="s">
        <x:v>26</x:v>
      </x:c>
      <x:c r="C820" t="s">
        <x:v>51</x:v>
      </x:c>
      <x:c r="D820" s="14">
        <x:v>44624</x:v>
      </x:c>
      <x:c r="E820" s="16">
        <x:v>7154</x:v>
      </x:c>
      <x:c r="F820" s="18">
        <x:v>133</x:v>
      </x:c>
    </x:row>
    <x:row r="821">
      <x:c r="A821" t="s">
        <x:v>49</x:v>
      </x:c>
      <x:c r="B821" t="s">
        <x:v>7</x:v>
      </x:c>
      <x:c r="C821" t="s">
        <x:v>11</x:v>
      </x:c>
      <x:c r="D821" s="14">
        <x:v>44735</x:v>
      </x:c>
      <x:c r="E821" s="16">
        <x:v>3997</x:v>
      </x:c>
      <x:c r="F821" s="18">
        <x:v>228</x:v>
      </x:c>
    </x:row>
    <x:row r="822">
      <x:c r="A822" t="s">
        <x:v>49</x:v>
      </x:c>
      <x:c r="B822" t="s">
        <x:v>26</x:v>
      </x:c>
      <x:c r="C822" t="s">
        <x:v>47</x:v>
      </x:c>
      <x:c r="D822" s="14">
        <x:v>44588</x:v>
      </x:c>
      <x:c r="E822" s="16">
        <x:v>5180</x:v>
      </x:c>
      <x:c r="F822" s="18">
        <x:v>233</x:v>
      </x:c>
    </x:row>
    <x:row r="823">
      <x:c r="A823" t="s">
        <x:v>33</x:v>
      </x:c>
      <x:c r="B823" t="s">
        <x:v>29</x:v>
      </x:c>
      <x:c r="C823" t="s">
        <x:v>27</x:v>
      </x:c>
      <x:c r="D823" s="14">
        <x:v>44575</x:v>
      </x:c>
      <x:c r="E823" s="16">
        <x:v>2723</x:v>
      </x:c>
      <x:c r="F823" s="18">
        <x:v>425</x:v>
      </x:c>
    </x:row>
    <x:row r="824">
      <x:c r="A824" t="s">
        <x:v>43</x:v>
      </x:c>
      <x:c r="B824" t="s">
        <x:v>10</x:v>
      </x:c>
      <x:c r="C824" t="s">
        <x:v>42</x:v>
      </x:c>
      <x:c r="D824" s="14">
        <x:v>44771</x:v>
      </x:c>
      <x:c r="E824" s="16">
        <x:v>952</x:v>
      </x:c>
      <x:c r="F824" s="18">
        <x:v>24</x:v>
      </x:c>
    </x:row>
    <x:row r="825">
      <x:c r="A825" t="s">
        <x:v>23</x:v>
      </x:c>
      <x:c r="B825" t="s">
        <x:v>29</x:v>
      </x:c>
      <x:c r="C825" t="s">
        <x:v>16</x:v>
      </x:c>
      <x:c r="D825" s="14">
        <x:v>44694</x:v>
      </x:c>
      <x:c r="E825" s="16">
        <x:v>5691</x:v>
      </x:c>
      <x:c r="F825" s="18">
        <x:v>495</x:v>
      </x:c>
    </x:row>
    <x:row r="826">
      <x:c r="A826" t="s">
        <x:v>25</x:v>
      </x:c>
      <x:c r="B826" t="s">
        <x:v>29</x:v>
      </x:c>
      <x:c r="C826" t="s">
        <x:v>56</x:v>
      </x:c>
      <x:c r="D826" s="14">
        <x:v>44595</x:v>
      </x:c>
      <x:c r="E826" s="16">
        <x:v>10969</x:v>
      </x:c>
      <x:c r="F826" s="18">
        <x:v>170</x:v>
      </x:c>
    </x:row>
    <x:row r="827">
      <x:c r="A827" t="s">
        <x:v>23</x:v>
      </x:c>
      <x:c r="B827" t="s">
        <x:v>10</x:v>
      </x:c>
      <x:c r="C827" t="s">
        <x:v>16</x:v>
      </x:c>
      <x:c r="D827" s="14">
        <x:v>44708</x:v>
      </x:c>
      <x:c r="E827" s="16">
        <x:v>5964</x:v>
      </x:c>
      <x:c r="F827" s="18">
        <x:v>26</x:v>
      </x:c>
    </x:row>
    <x:row r="828">
      <x:c r="A828" t="s">
        <x:v>14</x:v>
      </x:c>
      <x:c r="B828" t="s">
        <x:v>15</x:v>
      </x:c>
      <x:c r="C828" t="s">
        <x:v>32</x:v>
      </x:c>
      <x:c r="D828" s="14">
        <x:v>44610</x:v>
      </x:c>
      <x:c r="E828" s="16">
        <x:v>2821</x:v>
      </x:c>
      <x:c r="F828" s="18">
        <x:v>24</x:v>
      </x:c>
    </x:row>
    <x:row r="829">
      <x:c r="A829" t="s">
        <x:v>23</x:v>
      </x:c>
      <x:c r="B829" t="s">
        <x:v>10</x:v>
      </x:c>
      <x:c r="C829" t="s">
        <x:v>39</x:v>
      </x:c>
      <x:c r="D829" s="14">
        <x:v>44589</x:v>
      </x:c>
      <x:c r="E829" s="16">
        <x:v>1302</x:v>
      </x:c>
      <x:c r="F829" s="18">
        <x:v>33</x:v>
      </x:c>
    </x:row>
    <x:row r="830">
      <x:c r="A830" t="s">
        <x:v>9</x:v>
      </x:c>
      <x:c r="B830" t="s">
        <x:v>7</x:v>
      </x:c>
      <x:c r="C830" t="s">
        <x:v>30</x:v>
      </x:c>
      <x:c r="D830" s="14">
        <x:v>44741</x:v>
      </x:c>
      <x:c r="E830" s="16">
        <x:v>5474</x:v>
      </x:c>
      <x:c r="F830" s="18">
        <x:v>109</x:v>
      </x:c>
    </x:row>
    <x:row r="831">
      <x:c r="A831" t="s">
        <x:v>46</x:v>
      </x:c>
      <x:c r="B831" t="s">
        <x:v>10</x:v>
      </x:c>
      <x:c r="C831" t="s">
        <x:v>57</x:v>
      </x:c>
      <x:c r="D831" s="14">
        <x:v>44574</x:v>
      </x:c>
      <x:c r="E831" s="16">
        <x:v>4179</x:v>
      </x:c>
      <x:c r="F831" s="18">
        <x:v>276</x:v>
      </x:c>
    </x:row>
    <x:row r="832">
      <x:c r="A832" t="s">
        <x:v>6</x:v>
      </x:c>
      <x:c r="B832" t="s">
        <x:v>7</x:v>
      </x:c>
      <x:c r="C832" t="s">
        <x:v>20</x:v>
      </x:c>
      <x:c r="D832" s="14">
        <x:v>44739</x:v>
      </x:c>
      <x:c r="E832" s="16">
        <x:v>1946</x:v>
      </x:c>
      <x:c r="F832" s="18">
        <x:v>164</x:v>
      </x:c>
    </x:row>
    <x:row r="833">
      <x:c r="A833" t="s">
        <x:v>25</x:v>
      </x:c>
      <x:c r="B833" t="s">
        <x:v>29</x:v>
      </x:c>
      <x:c r="C833" t="s">
        <x:v>44</x:v>
      </x:c>
      <x:c r="D833" s="14">
        <x:v>44649</x:v>
      </x:c>
      <x:c r="E833" s="16">
        <x:v>4291</x:v>
      </x:c>
      <x:c r="F833" s="18">
        <x:v>1</x:v>
      </x:c>
    </x:row>
    <x:row r="834">
      <x:c r="A834" t="s">
        <x:v>19</x:v>
      </x:c>
      <x:c r="B834" t="s">
        <x:v>10</x:v>
      </x:c>
      <x:c r="C834" t="s">
        <x:v>35</x:v>
      </x:c>
      <x:c r="D834" s="14">
        <x:v>44715</x:v>
      </x:c>
      <x:c r="E834" s="16">
        <x:v>7196</x:v>
      </x:c>
      <x:c r="F834" s="18">
        <x:v>160</x:v>
      </x:c>
    </x:row>
    <x:row r="835">
      <x:c r="A835" t="s">
        <x:v>28</x:v>
      </x:c>
      <x:c r="B835" t="s">
        <x:v>29</x:v>
      </x:c>
      <x:c r="C835" t="s">
        <x:v>16</x:v>
      </x:c>
      <x:c r="D835" s="14">
        <x:v>44641</x:v>
      </x:c>
      <x:c r="E835" s="16">
        <x:v>1939</x:v>
      </x:c>
      <x:c r="F835" s="18">
        <x:v>98</x:v>
      </x:c>
    </x:row>
    <x:row r="836">
      <x:c r="A836" t="s">
        <x:v>28</x:v>
      </x:c>
      <x:c r="B836" t="s">
        <x:v>10</x:v>
      </x:c>
      <x:c r="C836" t="s">
        <x:v>30</x:v>
      </x:c>
      <x:c r="D836" s="14">
        <x:v>44663</x:v>
      </x:c>
      <x:c r="E836" s="16">
        <x:v>10437</x:v>
      </x:c>
      <x:c r="F836" s="18">
        <x:v>46</x:v>
      </x:c>
    </x:row>
    <x:row r="837">
      <x:c r="A837" t="s">
        <x:v>24</x:v>
      </x:c>
      <x:c r="B837" t="s">
        <x:v>15</x:v>
      </x:c>
      <x:c r="C837" t="s">
        <x:v>51</x:v>
      </x:c>
      <x:c r="D837" s="14">
        <x:v>44580</x:v>
      </x:c>
      <x:c r="E837" s="16">
        <x:v>6916</x:v>
      </x:c>
      <x:c r="F837" s="18">
        <x:v>259</x:v>
      </x:c>
    </x:row>
    <x:row r="838">
      <x:c r="A838" t="s">
        <x:v>31</x:v>
      </x:c>
      <x:c r="B838" t="s">
        <x:v>7</x:v>
      </x:c>
      <x:c r="C838" t="s">
        <x:v>22</x:v>
      </x:c>
      <x:c r="D838" s="14">
        <x:v>44657</x:v>
      </x:c>
      <x:c r="E838" s="16">
        <x:v>3647</x:v>
      </x:c>
      <x:c r="F838" s="18">
        <x:v>310</x:v>
      </x:c>
    </x:row>
    <x:row r="839">
      <x:c r="A839" t="s">
        <x:v>41</x:v>
      </x:c>
      <x:c r="B839" t="s">
        <x:v>15</x:v>
      </x:c>
      <x:c r="C839" t="s">
        <x:v>22</x:v>
      </x:c>
      <x:c r="D839" s="14">
        <x:v>44775</x:v>
      </x:c>
      <x:c r="E839" s="16">
        <x:v>8995</x:v>
      </x:c>
      <x:c r="F839" s="18">
        <x:v>78</x:v>
      </x:c>
    </x:row>
    <x:row r="840">
      <x:c r="A840" t="s">
        <x:v>12</x:v>
      </x:c>
      <x:c r="B840" t="s">
        <x:v>15</x:v>
      </x:c>
      <x:c r="C840" t="s">
        <x:v>30</x:v>
      </x:c>
      <x:c r="D840" s="14">
        <x:v>44663</x:v>
      </x:c>
      <x:c r="E840" s="16">
        <x:v>7252</x:v>
      </x:c>
      <x:c r="F840" s="18">
        <x:v>136</x:v>
      </x:c>
    </x:row>
    <x:row r="841">
      <x:c r="A841" t="s">
        <x:v>17</x:v>
      </x:c>
      <x:c r="B841" t="s">
        <x:v>10</x:v>
      </x:c>
      <x:c r="C841" t="s">
        <x:v>32</x:v>
      </x:c>
      <x:c r="D841" s="14">
        <x:v>44763</x:v>
      </x:c>
      <x:c r="E841" s="16">
        <x:v>16380</x:v>
      </x:c>
      <x:c r="F841" s="18">
        <x:v>130</x:v>
      </x:c>
    </x:row>
    <x:row r="842">
      <x:c r="A842" t="s">
        <x:v>9</x:v>
      </x:c>
      <x:c r="B842" t="s">
        <x:v>21</x:v>
      </x:c>
      <x:c r="C842" t="s">
        <x:v>56</x:v>
      </x:c>
      <x:c r="D842" s="14">
        <x:v>44642</x:v>
      </x:c>
      <x:c r="E842" s="16">
        <x:v>9660</x:v>
      </x:c>
      <x:c r="F842" s="18">
        <x:v>24</x:v>
      </x:c>
    </x:row>
    <x:row r="843">
      <x:c r="A843" t="s">
        <x:v>40</x:v>
      </x:c>
      <x:c r="B843" t="s">
        <x:v>10</x:v>
      </x:c>
      <x:c r="C843" t="s">
        <x:v>13</x:v>
      </x:c>
      <x:c r="D843" s="14">
        <x:v>44690</x:v>
      </x:c>
      <x:c r="E843" s="16">
        <x:v>4522</x:v>
      </x:c>
      <x:c r="F843" s="18">
        <x:v>5</x:v>
      </x:c>
    </x:row>
    <x:row r="844">
      <x:c r="A844" t="s">
        <x:v>48</x:v>
      </x:c>
      <x:c r="B844" t="s">
        <x:v>15</x:v>
      </x:c>
      <x:c r="C844" t="s">
        <x:v>56</x:v>
      </x:c>
      <x:c r="D844" s="14">
        <x:v>44782</x:v>
      </x:c>
      <x:c r="E844" s="16">
        <x:v>329</x:v>
      </x:c>
      <x:c r="F844" s="18">
        <x:v>109</x:v>
      </x:c>
    </x:row>
    <x:row r="845">
      <x:c r="A845" t="s">
        <x:v>53</x:v>
      </x:c>
      <x:c r="B845" t="s">
        <x:v>29</x:v>
      </x:c>
      <x:c r="C845" t="s">
        <x:v>52</x:v>
      </x:c>
      <x:c r="D845" s="14">
        <x:v>44762</x:v>
      </x:c>
      <x:c r="E845" s="16">
        <x:v>3458</x:v>
      </x:c>
      <x:c r="F845" s="18">
        <x:v>294</x:v>
      </x:c>
    </x:row>
    <x:row r="846">
      <x:c r="A846" t="s">
        <x:v>23</x:v>
      </x:c>
      <x:c r="B846" t="s">
        <x:v>10</x:v>
      </x:c>
      <x:c r="C846" t="s">
        <x:v>58</x:v>
      </x:c>
      <x:c r="D846" s="14">
        <x:v>44665</x:v>
      </x:c>
      <x:c r="E846" s="16">
        <x:v>4641</x:v>
      </x:c>
      <x:c r="F846" s="18">
        <x:v>413</x:v>
      </x:c>
    </x:row>
    <x:row r="847">
      <x:c r="A847" t="s">
        <x:v>6</x:v>
      </x:c>
      <x:c r="B847" t="s">
        <x:v>29</x:v>
      </x:c>
      <x:c r="C847" t="s">
        <x:v>44</x:v>
      </x:c>
      <x:c r="D847" s="14">
        <x:v>44586</x:v>
      </x:c>
      <x:c r="E847" s="16">
        <x:v>4627</x:v>
      </x:c>
      <x:c r="F847" s="18">
        <x:v>136</x:v>
      </x:c>
    </x:row>
    <x:row r="848">
      <x:c r="A848" t="s">
        <x:v>48</x:v>
      </x:c>
      <x:c r="B848" t="s">
        <x:v>15</x:v>
      </x:c>
      <x:c r="C848" t="s">
        <x:v>47</x:v>
      </x:c>
      <x:c r="D848" s="14">
        <x:v>44676</x:v>
      </x:c>
      <x:c r="E848" s="16">
        <x:v>3192</x:v>
      </x:c>
      <x:c r="F848" s="18">
        <x:v>175</x:v>
      </x:c>
    </x:row>
    <x:row r="849">
      <x:c r="A849" t="s">
        <x:v>54</x:v>
      </x:c>
      <x:c r="B849" t="s">
        <x:v>29</x:v>
      </x:c>
      <x:c r="C849" t="s">
        <x:v>20</x:v>
      </x:c>
      <x:c r="D849" s="14">
        <x:v>44578</x:v>
      </x:c>
      <x:c r="E849" s="16">
        <x:v>252</x:v>
      </x:c>
      <x:c r="F849" s="18">
        <x:v>237</x:v>
      </x:c>
    </x:row>
    <x:row r="850">
      <x:c r="A850" t="s">
        <x:v>31</x:v>
      </x:c>
      <x:c r="B850" t="s">
        <x:v>26</x:v>
      </x:c>
      <x:c r="C850" t="s">
        <x:v>30</x:v>
      </x:c>
      <x:c r="D850" s="14">
        <x:v>44788</x:v>
      </x:c>
      <x:c r="E850" s="16">
        <x:v>868</x:v>
      </x:c>
      <x:c r="F850" s="18">
        <x:v>125</x:v>
      </x:c>
    </x:row>
    <x:row r="851">
      <x:c r="A851" t="s">
        <x:v>31</x:v>
      </x:c>
      <x:c r="B851" t="s">
        <x:v>29</x:v>
      </x:c>
      <x:c r="C851" t="s">
        <x:v>42</x:v>
      </x:c>
      <x:c r="D851" s="14">
        <x:v>44714</x:v>
      </x:c>
      <x:c r="E851" s="16">
        <x:v>210</x:v>
      </x:c>
      <x:c r="F851" s="18">
        <x:v>16</x:v>
      </x:c>
    </x:row>
    <x:row r="852">
      <x:c r="A852" t="s">
        <x:v>19</x:v>
      </x:c>
      <x:c r="B852" t="s">
        <x:v>26</x:v>
      </x:c>
      <x:c r="C852" t="s">
        <x:v>11</x:v>
      </x:c>
      <x:c r="D852" s="14">
        <x:v>44742</x:v>
      </x:c>
      <x:c r="E852" s="16">
        <x:v>7007</x:v>
      </x:c>
      <x:c r="F852" s="18">
        <x:v>135</x:v>
      </x:c>
    </x:row>
    <x:row r="853">
      <x:c r="A853" t="s">
        <x:v>54</x:v>
      </x:c>
      <x:c r="B853" t="s">
        <x:v>21</x:v>
      </x:c>
      <x:c r="C853" t="s">
        <x:v>51</x:v>
      </x:c>
      <x:c r="D853" s="14">
        <x:v>44602</x:v>
      </x:c>
      <x:c r="E853" s="16">
        <x:v>5845</x:v>
      </x:c>
      <x:c r="F853" s="18">
        <x:v>91</x:v>
      </x:c>
    </x:row>
    <x:row r="854">
      <x:c r="A854" t="s">
        <x:v>33</x:v>
      </x:c>
      <x:c r="B854" t="s">
        <x:v>29</x:v>
      </x:c>
      <x:c r="C854" t="s">
        <x:v>57</x:v>
      </x:c>
      <x:c r="D854" s="14">
        <x:v>44615</x:v>
      </x:c>
      <x:c r="E854" s="16">
        <x:v>1372</x:v>
      </x:c>
      <x:c r="F854" s="18">
        <x:v>614</x:v>
      </x:c>
    </x:row>
    <x:row r="855">
      <x:c r="A855" t="s">
        <x:v>43</x:v>
      </x:c>
      <x:c r="B855" t="s">
        <x:v>10</x:v>
      </x:c>
      <x:c r="C855" t="s">
        <x:v>35</x:v>
      </x:c>
      <x:c r="D855" s="14">
        <x:v>44588</x:v>
      </x:c>
      <x:c r="E855" s="16">
        <x:v>8428</x:v>
      </x:c>
      <x:c r="F855" s="18">
        <x:v>216</x:v>
      </x:c>
    </x:row>
    <x:row r="856">
      <x:c r="A856" t="s">
        <x:v>50</x:v>
      </x:c>
      <x:c r="B856" t="s">
        <x:v>7</x:v>
      </x:c>
      <x:c r="C856" t="s">
        <x:v>8</x:v>
      </x:c>
      <x:c r="D856" s="14">
        <x:v>44707</x:v>
      </x:c>
      <x:c r="E856" s="16">
        <x:v>4977</x:v>
      </x:c>
      <x:c r="F856" s="18">
        <x:v>317</x:v>
      </x:c>
    </x:row>
    <x:row r="857">
      <x:c r="A857" t="s">
        <x:v>23</x:v>
      </x:c>
      <x:c r="B857" t="s">
        <x:v>26</x:v>
      </x:c>
      <x:c r="C857" t="s">
        <x:v>58</x:v>
      </x:c>
      <x:c r="D857" s="14">
        <x:v>44665</x:v>
      </x:c>
      <x:c r="E857" s="16">
        <x:v>1694</x:v>
      </x:c>
      <x:c r="F857" s="18">
        <x:v>21</x:v>
      </x:c>
    </x:row>
    <x:row r="858">
      <x:c r="A858" t="s">
        <x:v>53</x:v>
      </x:c>
      <x:c r="B858" t="s">
        <x:v>15</x:v>
      </x:c>
      <x:c r="C858" t="s">
        <x:v>18</x:v>
      </x:c>
      <x:c r="D858" s="14">
        <x:v>44774</x:v>
      </x:c>
      <x:c r="E858" s="16">
        <x:v>4326</x:v>
      </x:c>
      <x:c r="F858" s="18">
        <x:v>154</x:v>
      </x:c>
    </x:row>
    <x:row r="859">
      <x:c r="A859" t="s">
        <x:v>28</x:v>
      </x:c>
      <x:c r="B859" t="s">
        <x:v>15</x:v>
      </x:c>
      <x:c r="C859" t="s">
        <x:v>30</x:v>
      </x:c>
      <x:c r="D859" s="14">
        <x:v>44795</x:v>
      </x:c>
      <x:c r="E859" s="16">
        <x:v>9527</x:v>
      </x:c>
      <x:c r="F859" s="18">
        <x:v>222</x:v>
      </x:c>
    </x:row>
    <x:row r="860">
      <x:c r="A860" t="s">
        <x:v>33</x:v>
      </x:c>
      <x:c r="B860" t="s">
        <x:v>10</x:v>
      </x:c>
      <x:c r="C860" t="s">
        <x:v>18</x:v>
      </x:c>
      <x:c r="D860" s="14">
        <x:v>44764</x:v>
      </x:c>
      <x:c r="E860" s="16">
        <x:v>10766</x:v>
      </x:c>
      <x:c r="F860" s="18">
        <x:v>157</x:v>
      </x:c>
    </x:row>
    <x:row r="861">
      <x:c r="A861" t="s">
        <x:v>40</x:v>
      </x:c>
      <x:c r="B861" t="s">
        <x:v>26</x:v>
      </x:c>
      <x:c r="C861" t="s">
        <x:v>42</x:v>
      </x:c>
      <x:c r="D861" s="14">
        <x:v>44679</x:v>
      </x:c>
      <x:c r="E861" s="16">
        <x:v>1288</x:v>
      </x:c>
      <x:c r="F861" s="18">
        <x:v>27</x:v>
      </x:c>
    </x:row>
    <x:row r="862">
      <x:c r="A862" t="s">
        <x:v>49</x:v>
      </x:c>
      <x:c r="B862" t="s">
        <x:v>15</x:v>
      </x:c>
      <x:c r="C862" t="s">
        <x:v>47</x:v>
      </x:c>
      <x:c r="D862" s="14">
        <x:v>44711</x:v>
      </x:c>
      <x:c r="E862" s="16">
        <x:v>4879</x:v>
      </x:c>
      <x:c r="F862" s="18">
        <x:v>350</x:v>
      </x:c>
    </x:row>
    <x:row r="863">
      <x:c r="A863" t="s">
        <x:v>55</x:v>
      </x:c>
      <x:c r="B863" t="s">
        <x:v>26</x:v>
      </x:c>
      <x:c r="C863" t="s">
        <x:v>37</x:v>
      </x:c>
      <x:c r="D863" s="14">
        <x:v>44763</x:v>
      </x:c>
      <x:c r="E863" s="16">
        <x:v>2408</x:v>
      </x:c>
      <x:c r="F863" s="18">
        <x:v>157</x:v>
      </x:c>
    </x:row>
    <x:row r="864">
      <x:c r="A864" t="s">
        <x:v>14</x:v>
      </x:c>
      <x:c r="B864" t="s">
        <x:v>7</x:v>
      </x:c>
      <x:c r="C864" t="s">
        <x:v>57</x:v>
      </x:c>
      <x:c r="D864" s="14">
        <x:v>44775</x:v>
      </x:c>
      <x:c r="E864" s="16">
        <x:v>3094</x:v>
      </x:c>
      <x:c r="F864" s="18">
        <x:v>468</x:v>
      </x:c>
    </x:row>
    <x:row r="865">
      <x:c r="A865" t="s">
        <x:v>23</x:v>
      </x:c>
      <x:c r="B865" t="s">
        <x:v>21</x:v>
      </x:c>
      <x:c r="C865" t="s">
        <x:v>58</x:v>
      </x:c>
      <x:c r="D865" s="14">
        <x:v>44727</x:v>
      </x:c>
      <x:c r="E865" s="16">
        <x:v>7231</x:v>
      </x:c>
      <x:c r="F865" s="18">
        <x:v>130</x:v>
      </x:c>
    </x:row>
    <x:row r="866">
      <x:c r="A866" t="s">
        <x:v>17</x:v>
      </x:c>
      <x:c r="B866" t="s">
        <x:v>10</x:v>
      </x:c>
      <x:c r="C866" t="s">
        <x:v>11</x:v>
      </x:c>
      <x:c r="D866" s="14">
        <x:v>44747</x:v>
      </x:c>
      <x:c r="E866" s="16">
        <x:v>8981</x:v>
      </x:c>
      <x:c r="F866" s="18">
        <x:v>130</x:v>
      </x:c>
    </x:row>
    <x:row r="867">
      <x:c r="A867" t="s">
        <x:v>41</x:v>
      </x:c>
      <x:c r="B867" t="s">
        <x:v>21</x:v>
      </x:c>
      <x:c r="C867" t="s">
        <x:v>16</x:v>
      </x:c>
      <x:c r="D867" s="14">
        <x:v>44663</x:v>
      </x:c>
      <x:c r="E867" s="16">
        <x:v>7</x:v>
      </x:c>
      <x:c r="F867" s="18">
        <x:v>518</x:v>
      </x:c>
    </x:row>
    <x:row r="868">
      <x:c r="A868" t="s">
        <x:v>12</x:v>
      </x:c>
      <x:c r="B868" t="s">
        <x:v>15</x:v>
      </x:c>
      <x:c r="C868" t="s">
        <x:v>58</x:v>
      </x:c>
      <x:c r="D868" s="14">
        <x:v>44791</x:v>
      </x:c>
      <x:c r="E868" s="16">
        <x:v>1372</x:v>
      </x:c>
      <x:c r="F868" s="18">
        <x:v>105</x:v>
      </x:c>
    </x:row>
    <x:row r="869">
      <x:c r="A869" t="s">
        <x:v>14</x:v>
      </x:c>
      <x:c r="B869" t="s">
        <x:v>7</x:v>
      </x:c>
      <x:c r="C869" t="s">
        <x:v>22</x:v>
      </x:c>
      <x:c r="D869" s="14">
        <x:v>44573</x:v>
      </x:c>
      <x:c r="E869" s="16">
        <x:v>5250</x:v>
      </x:c>
      <x:c r="F869" s="18">
        <x:v>293</x:v>
      </x:c>
    </x:row>
    <x:row r="870">
      <x:c r="A870" t="s">
        <x:v>19</x:v>
      </x:c>
      <x:c r="B870" t="s">
        <x:v>29</x:v>
      </x:c>
      <x:c r="C870" t="s">
        <x:v>44</x:v>
      </x:c>
      <x:c r="D870" s="14">
        <x:v>44784</x:v>
      </x:c>
      <x:c r="E870" s="16">
        <x:v>7560</x:v>
      </x:c>
      <x:c r="F870" s="18">
        <x:v>15</x:v>
      </x:c>
    </x:row>
    <x:row r="871">
      <x:c r="A871" t="s">
        <x:v>6</x:v>
      </x:c>
      <x:c r="B871" t="s">
        <x:v>15</x:v>
      </x:c>
      <x:c r="C871" t="s">
        <x:v>39</x:v>
      </x:c>
      <x:c r="D871" s="14">
        <x:v>44574</x:v>
      </x:c>
      <x:c r="E871" s="16">
        <x:v>5012</x:v>
      </x:c>
      <x:c r="F871" s="18">
        <x:v>384</x:v>
      </x:c>
    </x:row>
    <x:row r="872">
      <x:c r="A872" t="s">
        <x:v>40</x:v>
      </x:c>
      <x:c r="B872" t="s">
        <x:v>7</x:v>
      </x:c>
      <x:c r="C872" t="s">
        <x:v>56</x:v>
      </x:c>
      <x:c r="D872" s="14">
        <x:v>44680</x:v>
      </x:c>
      <x:c r="E872" s="16">
        <x:v>3038</x:v>
      </x:c>
      <x:c r="F872" s="18">
        <x:v>135</x:v>
      </x:c>
    </x:row>
    <x:row r="873">
      <x:c r="A873" t="s">
        <x:v>24</x:v>
      </x:c>
      <x:c r="B873" t="s">
        <x:v>21</x:v>
      </x:c>
      <x:c r="C873" t="s">
        <x:v>20</x:v>
      </x:c>
      <x:c r="D873" s="14">
        <x:v>44749</x:v>
      </x:c>
      <x:c r="E873" s="16">
        <x:v>1099</x:v>
      </x:c>
      <x:c r="F873" s="18">
        <x:v>92</x:v>
      </x:c>
    </x:row>
    <x:row r="874">
      <x:c r="A874" t="s">
        <x:v>53</x:v>
      </x:c>
      <x:c r="B874" t="s">
        <x:v>21</x:v>
      </x:c>
      <x:c r="C874" t="s">
        <x:v>8</x:v>
      </x:c>
      <x:c r="D874" s="14">
        <x:v>44631</x:v>
      </x:c>
      <x:c r="E874" s="16">
        <x:v>7413</x:v>
      </x:c>
      <x:c r="F874" s="18">
        <x:v>4</x:v>
      </x:c>
    </x:row>
    <x:row r="875">
      <x:c r="A875" t="s">
        <x:v>53</x:v>
      </x:c>
      <x:c r="B875" t="s">
        <x:v>7</x:v>
      </x:c>
      <x:c r="C875" t="s">
        <x:v>58</x:v>
      </x:c>
      <x:c r="D875" s="14">
        <x:v>44608</x:v>
      </x:c>
      <x:c r="E875" s="16">
        <x:v>5397</x:v>
      </x:c>
      <x:c r="F875" s="18">
        <x:v>239</x:v>
      </x:c>
    </x:row>
    <x:row r="876">
      <x:c r="A876" t="s">
        <x:v>25</x:v>
      </x:c>
      <x:c r="B876" t="s">
        <x:v>15</x:v>
      </x:c>
      <x:c r="C876" t="s">
        <x:v>35</x:v>
      </x:c>
      <x:c r="D876" s="14">
        <x:v>44568</x:v>
      </x:c>
      <x:c r="E876" s="16">
        <x:v>2303</x:v>
      </x:c>
      <x:c r="F876" s="18">
        <x:v>33</x:v>
      </x:c>
    </x:row>
    <x:row r="877">
      <x:c r="A877" t="s">
        <x:v>34</x:v>
      </x:c>
      <x:c r="B877" t="s">
        <x:v>21</x:v>
      </x:c>
      <x:c r="C877" t="s">
        <x:v>32</x:v>
      </x:c>
      <x:c r="D877" s="14">
        <x:v>44573</x:v>
      </x:c>
      <x:c r="E877" s="16">
        <x:v>1141</x:v>
      </x:c>
      <x:c r="F877" s="18">
        <x:v>518</x:v>
      </x:c>
    </x:row>
    <x:row r="878">
      <x:c r="A878" t="s">
        <x:v>34</x:v>
      </x:c>
      <x:c r="B878" t="s">
        <x:v>10</x:v>
      </x:c>
      <x:c r="C878" t="s">
        <x:v>30</x:v>
      </x:c>
      <x:c r="D878" s="14">
        <x:v>44721</x:v>
      </x:c>
      <x:c r="E878" s="16">
        <x:v>10325</x:v>
      </x:c>
      <x:c r="F878" s="18">
        <x:v>147</x:v>
      </x:c>
    </x:row>
    <x:row r="879">
      <x:c r="A879" t="s">
        <x:v>48</x:v>
      </x:c>
      <x:c r="B879" t="s">
        <x:v>10</x:v>
      </x:c>
      <x:c r="C879" t="s">
        <x:v>30</x:v>
      </x:c>
      <x:c r="D879" s="14">
        <x:v>44697</x:v>
      </x:c>
      <x:c r="E879" s="16">
        <x:v>2149</x:v>
      </x:c>
      <x:c r="F879" s="18">
        <x:v>84</x:v>
      </x:c>
    </x:row>
    <x:row r="880">
      <x:c r="A880" t="s">
        <x:v>12</x:v>
      </x:c>
      <x:c r="B880" t="s">
        <x:v>7</x:v>
      </x:c>
      <x:c r="C880" t="s">
        <x:v>11</x:v>
      </x:c>
      <x:c r="D880" s="14">
        <x:v>44735</x:v>
      </x:c>
      <x:c r="E880" s="16">
        <x:v>12362</x:v>
      </x:c>
      <x:c r="F880" s="18">
        <x:v>94</x:v>
      </x:c>
    </x:row>
    <x:row r="881">
      <x:c r="A881" t="s">
        <x:v>36</x:v>
      </x:c>
      <x:c r="B881" t="s">
        <x:v>7</x:v>
      </x:c>
      <x:c r="C881" t="s">
        <x:v>51</x:v>
      </x:c>
      <x:c r="D881" s="14">
        <x:v>44589</x:v>
      </x:c>
      <x:c r="E881" s="16">
        <x:v>12635</x:v>
      </x:c>
      <x:c r="F881" s="18">
        <x:v>194</x:v>
      </x:c>
    </x:row>
    <x:row r="882">
      <x:c r="A882" t="s">
        <x:v>54</x:v>
      </x:c>
      <x:c r="B882" t="s">
        <x:v>7</x:v>
      </x:c>
      <x:c r="C882" t="s">
        <x:v>8</x:v>
      </x:c>
      <x:c r="D882" s="14">
        <x:v>44756</x:v>
      </x:c>
      <x:c r="E882" s="16">
        <x:v>2443</x:v>
      </x:c>
      <x:c r="F882" s="18">
        <x:v>216</x:v>
      </x:c>
    </x:row>
    <x:row r="883">
      <x:c r="A883" t="s">
        <x:v>25</x:v>
      </x:c>
      <x:c r="B883" t="s">
        <x:v>29</x:v>
      </x:c>
      <x:c r="C883" t="s">
        <x:v>32</x:v>
      </x:c>
      <x:c r="D883" s="14">
        <x:v>44669</x:v>
      </x:c>
      <x:c r="E883" s="16">
        <x:v>6237</x:v>
      </x:c>
      <x:c r="F883" s="18">
        <x:v>247</x:v>
      </x:c>
    </x:row>
    <x:row r="884">
      <x:c r="A884" t="s">
        <x:v>17</x:v>
      </x:c>
      <x:c r="B884" t="s">
        <x:v>26</x:v>
      </x:c>
      <x:c r="C884" t="s">
        <x:v>37</x:v>
      </x:c>
      <x:c r="D884" s="14">
        <x:v>44726</x:v>
      </x:c>
      <x:c r="E884" s="16">
        <x:v>1736</x:v>
      </x:c>
      <x:c r="F884" s="18">
        <x:v>79</x:v>
      </x:c>
    </x:row>
    <x:row r="885">
      <x:c r="A885" t="s">
        <x:v>17</x:v>
      </x:c>
      <x:c r="B885" t="s">
        <x:v>7</x:v>
      </x:c>
      <x:c r="C885" t="s">
        <x:v>27</x:v>
      </x:c>
      <x:c r="D885" s="14">
        <x:v>44666</x:v>
      </x:c>
      <x:c r="E885" s="16">
        <x:v>7315</x:v>
      </x:c>
      <x:c r="F885" s="18">
        <x:v>237</x:v>
      </x:c>
    </x:row>
    <x:row r="886">
      <x:c r="A886" t="s">
        <x:v>38</x:v>
      </x:c>
      <x:c r="B886" t="s">
        <x:v>29</x:v>
      </x:c>
      <x:c r="C886" t="s">
        <x:v>13</x:v>
      </x:c>
      <x:c r="D886" s="14">
        <x:v>44700</x:v>
      </x:c>
      <x:c r="E886" s="16">
        <x:v>4935</x:v>
      </x:c>
      <x:c r="F886" s="18">
        <x:v>63</x:v>
      </x:c>
    </x:row>
    <x:row r="887">
      <x:c r="A887" t="s">
        <x:v>12</x:v>
      </x:c>
      <x:c r="B887" t="s">
        <x:v>10</x:v>
      </x:c>
      <x:c r="C887" t="s">
        <x:v>44</x:v>
      </x:c>
      <x:c r="D887" s="14">
        <x:v>44664</x:v>
      </x:c>
      <x:c r="E887" s="16">
        <x:v>1393</x:v>
      </x:c>
      <x:c r="F887" s="18">
        <x:v>172</x:v>
      </x:c>
    </x:row>
    <x:row r="888">
      <x:c r="A888" t="s">
        <x:v>40</x:v>
      </x:c>
      <x:c r="B888" t="s">
        <x:v>29</x:v>
      </x:c>
      <x:c r="C888" t="s">
        <x:v>52</x:v>
      </x:c>
      <x:c r="D888" s="14">
        <x:v>44788</x:v>
      </x:c>
      <x:c r="E888" s="16">
        <x:v>3381</x:v>
      </x:c>
      <x:c r="F888" s="18">
        <x:v>408</x:v>
      </x:c>
    </x:row>
    <x:row r="889">
      <x:c r="A889" t="s">
        <x:v>46</x:v>
      </x:c>
      <x:c r="B889" t="s">
        <x:v>10</x:v>
      </x:c>
      <x:c r="C889" t="s">
        <x:v>52</x:v>
      </x:c>
      <x:c r="D889" s="14">
        <x:v>44795</x:v>
      </x:c>
      <x:c r="E889" s="16">
        <x:v>2933</x:v>
      </x:c>
      <x:c r="F889" s="18">
        <x:v>233</x:v>
      </x:c>
    </x:row>
    <x:row r="890">
      <x:c r="A890" t="s">
        <x:v>46</x:v>
      </x:c>
      <x:c r="B890" t="s">
        <x:v>21</x:v>
      </x:c>
      <x:c r="C890" t="s">
        <x:v>56</x:v>
      </x:c>
      <x:c r="D890" s="14">
        <x:v>44673</x:v>
      </x:c>
      <x:c r="E890" s="16">
        <x:v>3836</x:v>
      </x:c>
      <x:c r="F890" s="18">
        <x:v>59</x:v>
      </x:c>
    </x:row>
    <x:row r="891">
      <x:c r="A891" t="s">
        <x:v>41</x:v>
      </x:c>
      <x:c r="B891" t="s">
        <x:v>7</x:v>
      </x:c>
      <x:c r="C891" t="s">
        <x:v>52</x:v>
      </x:c>
      <x:c r="D891" s="14">
        <x:v>44776</x:v>
      </x:c>
      <x:c r="E891" s="16">
        <x:v>8022</x:v>
      </x:c>
      <x:c r="F891" s="18">
        <x:v>123</x:v>
      </x:c>
    </x:row>
    <x:row r="892">
      <x:c r="A892" t="s">
        <x:v>43</x:v>
      </x:c>
      <x:c r="B892" t="s">
        <x:v>21</x:v>
      </x:c>
      <x:c r="C892" t="s">
        <x:v>35</x:v>
      </x:c>
      <x:c r="D892" s="14">
        <x:v>44565</x:v>
      </x:c>
      <x:c r="E892" s="16">
        <x:v>371</x:v>
      </x:c>
      <x:c r="F892" s="18">
        <x:v>229</x:v>
      </x:c>
    </x:row>
    <x:row r="893">
      <x:c r="A893" t="s">
        <x:v>49</x:v>
      </x:c>
      <x:c r="B893" t="s">
        <x:v>29</x:v>
      </x:c>
      <x:c r="C893" t="s">
        <x:v>20</x:v>
      </x:c>
      <x:c r="D893" s="14">
        <x:v>44574</x:v>
      </x:c>
      <x:c r="E893" s="16">
        <x:v>16702</x:v>
      </x:c>
      <x:c r="F893" s="18">
        <x:v>198</x:v>
      </x:c>
    </x:row>
    <x:row r="894">
      <x:c r="A894" t="s">
        <x:v>9</x:v>
      </x:c>
      <x:c r="B894" t="s">
        <x:v>15</x:v>
      </x:c>
      <x:c r="C894" t="s">
        <x:v>56</x:v>
      </x:c>
      <x:c r="D894" s="14">
        <x:v>44692</x:v>
      </x:c>
      <x:c r="E894" s="16">
        <x:v>13258</x:v>
      </x:c>
      <x:c r="F894" s="18">
        <x:v>32</x:v>
      </x:c>
    </x:row>
    <x:row r="895">
      <x:c r="A895" t="s">
        <x:v>40</x:v>
      </x:c>
      <x:c r="B895" t="s">
        <x:v>21</x:v>
      </x:c>
      <x:c r="C895" t="s">
        <x:v>13</x:v>
      </x:c>
      <x:c r="D895" s="14">
        <x:v>44608</x:v>
      </x:c>
      <x:c r="E895" s="16">
        <x:v>2058</x:v>
      </x:c>
      <x:c r="F895" s="18">
        <x:v>236</x:v>
      </x:c>
    </x:row>
    <x:row r="896">
      <x:c r="A896" t="s">
        <x:v>41</x:v>
      </x:c>
      <x:c r="B896" t="s">
        <x:v>7</x:v>
      </x:c>
      <x:c r="C896" t="s">
        <x:v>57</x:v>
      </x:c>
      <x:c r="D896" s="14">
        <x:v>44701</x:v>
      </x:c>
      <x:c r="E896" s="16">
        <x:v>10192</x:v>
      </x:c>
      <x:c r="F896" s="18">
        <x:v>67</x:v>
      </x:c>
    </x:row>
    <x:row r="897">
      <x:c r="A897" t="s">
        <x:v>6</x:v>
      </x:c>
      <x:c r="B897" t="s">
        <x:v>7</x:v>
      </x:c>
      <x:c r="C897" t="s">
        <x:v>32</x:v>
      </x:c>
      <x:c r="D897" s="14">
        <x:v>44595</x:v>
      </x:c>
      <x:c r="E897" s="16">
        <x:v>7140</x:v>
      </x:c>
      <x:c r="F897" s="18">
        <x:v>438</x:v>
      </x:c>
    </x:row>
    <x:row r="898">
      <x:c r="A898" t="s">
        <x:v>34</x:v>
      </x:c>
      <x:c r="B898" t="s">
        <x:v>10</x:v>
      </x:c>
      <x:c r="C898" t="s">
        <x:v>45</x:v>
      </x:c>
      <x:c r="D898" s="14">
        <x:v>44687</x:v>
      </x:c>
      <x:c r="E898" s="16">
        <x:v>9835</x:v>
      </x:c>
      <x:c r="F898" s="18">
        <x:v>167</x:v>
      </x:c>
    </x:row>
    <x:row r="899">
      <x:c r="A899" t="s">
        <x:v>19</x:v>
      </x:c>
      <x:c r="B899" t="s">
        <x:v>7</x:v>
      </x:c>
      <x:c r="C899" t="s">
        <x:v>52</x:v>
      </x:c>
      <x:c r="D899" s="14">
        <x:v>44742</x:v>
      </x:c>
      <x:c r="E899" s="16">
        <x:v>5775</x:v>
      </x:c>
      <x:c r="F899" s="18">
        <x:v>135</x:v>
      </x:c>
    </x:row>
    <x:row r="900">
      <x:c r="A900" t="s">
        <x:v>19</x:v>
      </x:c>
      <x:c r="B900" t="s">
        <x:v>7</x:v>
      </x:c>
      <x:c r="C900" t="s">
        <x:v>16</x:v>
      </x:c>
      <x:c r="D900" s="14">
        <x:v>44642</x:v>
      </x:c>
      <x:c r="E900" s="16">
        <x:v>749</x:v>
      </x:c>
      <x:c r="F900" s="18">
        <x:v>148</x:v>
      </x:c>
    </x:row>
    <x:row r="901">
      <x:c r="A901" t="s">
        <x:v>50</x:v>
      </x:c>
      <x:c r="B901" t="s">
        <x:v>29</x:v>
      </x:c>
      <x:c r="C901" t="s">
        <x:v>27</x:v>
      </x:c>
      <x:c r="D901" s="14">
        <x:v>44609</x:v>
      </x:c>
      <x:c r="E901" s="16">
        <x:v>7770</x:v>
      </x:c>
      <x:c r="F901" s="18">
        <x:v>54</x:v>
      </x:c>
    </x:row>
    <x:row r="902">
      <x:c r="A902" t="s">
        <x:v>6</x:v>
      </x:c>
      <x:c r="B902" t="s">
        <x:v>7</x:v>
      </x:c>
      <x:c r="C902" t="s">
        <x:v>11</x:v>
      </x:c>
      <x:c r="D902" s="14">
        <x:v>44749</x:v>
      </x:c>
      <x:c r="E902" s="16">
        <x:v>5502</x:v>
      </x:c>
      <x:c r="F902" s="18">
        <x:v>64</x:v>
      </x:c>
    </x:row>
    <x:row r="903">
      <x:c r="A903" t="s">
        <x:v>17</x:v>
      </x:c>
      <x:c r="B903" t="s">
        <x:v>7</x:v>
      </x:c>
      <x:c r="C903" t="s">
        <x:v>58</x:v>
      </x:c>
      <x:c r="D903" s="14">
        <x:v>44636</x:v>
      </x:c>
      <x:c r="E903" s="16">
        <x:v>6223</x:v>
      </x:c>
      <x:c r="F903" s="18">
        <x:v>181</x:v>
      </x:c>
    </x:row>
    <x:row r="904">
      <x:c r="A904" t="s">
        <x:v>49</x:v>
      </x:c>
      <x:c r="B904" t="s">
        <x:v>7</x:v>
      </x:c>
      <x:c r="C904" t="s">
        <x:v>18</x:v>
      </x:c>
      <x:c r="D904" s="14">
        <x:v>44785</x:v>
      </x:c>
      <x:c r="E904" s="16">
        <x:v>3507</x:v>
      </x:c>
      <x:c r="F904" s="18">
        <x:v>114</x:v>
      </x:c>
    </x:row>
    <x:row r="905">
      <x:c r="A905" t="s">
        <x:v>12</x:v>
      </x:c>
      <x:c r="B905" t="s">
        <x:v>21</x:v>
      </x:c>
      <x:c r="C905" t="s">
        <x:v>20</x:v>
      </x:c>
      <x:c r="D905" s="14">
        <x:v>44582</x:v>
      </x:c>
      <x:c r="E905" s="16">
        <x:v>5600</x:v>
      </x:c>
      <x:c r="F905" s="18">
        <x:v>181</x:v>
      </x:c>
    </x:row>
    <x:row r="906">
      <x:c r="A906" t="s">
        <x:v>17</x:v>
      </x:c>
      <x:c r="B906" t="s">
        <x:v>15</x:v>
      </x:c>
      <x:c r="C906" t="s">
        <x:v>22</x:v>
      </x:c>
      <x:c r="D906" s="14">
        <x:v>44687</x:v>
      </x:c>
      <x:c r="E906" s="16">
        <x:v>721</x:v>
      </x:c>
      <x:c r="F906" s="18">
        <x:v>151</x:v>
      </x:c>
    </x:row>
    <x:row r="907">
      <x:c r="A907" t="s">
        <x:v>17</x:v>
      </x:c>
      <x:c r="B907" t="s">
        <x:v>29</x:v>
      </x:c>
      <x:c r="C907" t="s">
        <x:v>22</x:v>
      </x:c>
      <x:c r="D907" s="14">
        <x:v>44736</x:v>
      </x:c>
      <x:c r="E907" s="16">
        <x:v>6615</x:v>
      </x:c>
      <x:c r="F907" s="18">
        <x:v>137</x:v>
      </x:c>
    </x:row>
    <x:row r="908">
      <x:c r="A908" t="s">
        <x:v>25</x:v>
      </x:c>
      <x:c r="B908" t="s">
        <x:v>26</x:v>
      </x:c>
      <x:c r="C908" t="s">
        <x:v>44</x:v>
      </x:c>
      <x:c r="D908" s="14">
        <x:v>44686</x:v>
      </x:c>
      <x:c r="E908" s="16">
        <x:v>7420</x:v>
      </x:c>
      <x:c r="F908" s="18">
        <x:v>163</x:v>
      </x:c>
    </x:row>
    <x:row r="909">
      <x:c r="A909" t="s">
        <x:v>24</x:v>
      </x:c>
      <x:c r="B909" t="s">
        <x:v>21</x:v>
      </x:c>
      <x:c r="C909" t="s">
        <x:v>18</x:v>
      </x:c>
      <x:c r="D909" s="14">
        <x:v>44645</x:v>
      </x:c>
      <x:c r="E909" s="16">
        <x:v>3164</x:v>
      </x:c>
      <x:c r="F909" s="18">
        <x:v>84</x:v>
      </x:c>
    </x:row>
    <x:row r="910">
      <x:c r="A910" t="s">
        <x:v>38</x:v>
      </x:c>
      <x:c r="B910" t="s">
        <x:v>15</x:v>
      </x:c>
      <x:c r="C910" t="s">
        <x:v>57</x:v>
      </x:c>
      <x:c r="D910" s="14">
        <x:v>44606</x:v>
      </x:c>
      <x:c r="E910" s="16">
        <x:v>9114</x:v>
      </x:c>
      <x:c r="F910" s="18">
        <x:v>140</x:v>
      </x:c>
    </x:row>
    <x:row r="911">
      <x:c r="A911" t="s">
        <x:v>38</x:v>
      </x:c>
      <x:c r="B911" t="s">
        <x:v>21</x:v>
      </x:c>
      <x:c r="C911" t="s">
        <x:v>11</x:v>
      </x:c>
      <x:c r="D911" s="14">
        <x:v>44693</x:v>
      </x:c>
      <x:c r="E911" s="16">
        <x:v>5404</x:v>
      </x:c>
      <x:c r="F911" s="18">
        <x:v>187</x:v>
      </x:c>
    </x:row>
    <x:row r="912">
      <x:c r="A912" t="s">
        <x:v>25</x:v>
      </x:c>
      <x:c r="B912" t="s">
        <x:v>21</x:v>
      </x:c>
      <x:c r="C912" t="s">
        <x:v>16</x:v>
      </x:c>
      <x:c r="D912" s="14">
        <x:v>44586</x:v>
      </x:c>
      <x:c r="E912" s="16">
        <x:v>3990</x:v>
      </x:c>
      <x:c r="F912" s="18">
        <x:v>169</x:v>
      </x:c>
    </x:row>
    <x:row r="913">
      <x:c r="A913" t="s">
        <x:v>55</x:v>
      </x:c>
      <x:c r="B913" t="s">
        <x:v>7</x:v>
      </x:c>
      <x:c r="C913" t="s">
        <x:v>11</x:v>
      </x:c>
      <x:c r="D913" s="14">
        <x:v>44740</x:v>
      </x:c>
      <x:c r="E913" s="16">
        <x:v>14924</x:v>
      </x:c>
      <x:c r="F913" s="18">
        <x:v>12</x:v>
      </x:c>
    </x:row>
    <x:row r="914">
      <x:c r="A914" t="s">
        <x:v>43</x:v>
      </x:c>
      <x:c r="B914" t="s">
        <x:v>15</x:v>
      </x:c>
      <x:c r="C914" t="s">
        <x:v>32</x:v>
      </x:c>
      <x:c r="D914" s="14">
        <x:v>44755</x:v>
      </x:c>
      <x:c r="E914" s="16">
        <x:v>7091</x:v>
      </x:c>
      <x:c r="F914" s="18">
        <x:v>194</x:v>
      </x:c>
    </x:row>
    <x:row r="915">
      <x:c r="A915" t="s">
        <x:v>36</x:v>
      </x:c>
      <x:c r="B915" t="s">
        <x:v>26</x:v>
      </x:c>
      <x:c r="C915" t="s">
        <x:v>37</x:v>
      </x:c>
      <x:c r="D915" s="14">
        <x:v>44697</x:v>
      </x:c>
      <x:c r="E915" s="16">
        <x:v>2807</x:v>
      </x:c>
      <x:c r="F915" s="18">
        <x:v>252</x:v>
      </x:c>
    </x:row>
    <x:row r="916">
      <x:c r="A916" t="s">
        <x:v>14</x:v>
      </x:c>
      <x:c r="B916" t="s">
        <x:v>10</x:v>
      </x:c>
      <x:c r="C916" t="s">
        <x:v>20</x:v>
      </x:c>
      <x:c r="D916" s="14">
        <x:v>44634</x:v>
      </x:c>
      <x:c r="E916" s="16">
        <x:v>6496</x:v>
      </x:c>
      <x:c r="F916" s="18">
        <x:v>168</x:v>
      </x:c>
    </x:row>
    <x:row r="917">
      <x:c r="A917" t="s">
        <x:v>19</x:v>
      </x:c>
      <x:c r="B917" t="s">
        <x:v>26</x:v>
      </x:c>
      <x:c r="C917" t="s">
        <x:v>20</x:v>
      </x:c>
      <x:c r="D917" s="14">
        <x:v>44788</x:v>
      </x:c>
      <x:c r="E917" s="16">
        <x:v>3738</x:v>
      </x:c>
      <x:c r="F917" s="18">
        <x:v>261</x:v>
      </x:c>
    </x:row>
    <x:row r="918">
      <x:c r="A918" t="s">
        <x:v>55</x:v>
      </x:c>
      <x:c r="B918" t="s">
        <x:v>10</x:v>
      </x:c>
      <x:c r="C918" t="s">
        <x:v>27</x:v>
      </x:c>
      <x:c r="D918" s="14">
        <x:v>44608</x:v>
      </x:c>
      <x:c r="E918" s="16">
        <x:v>1190</x:v>
      </x:c>
      <x:c r="F918" s="18">
        <x:v>256</x:v>
      </x:c>
    </x:row>
    <x:row r="919">
      <x:c r="A919" t="s">
        <x:v>28</x:v>
      </x:c>
      <x:c r="B919" t="s">
        <x:v>7</x:v>
      </x:c>
      <x:c r="C919" t="s">
        <x:v>45</x:v>
      </x:c>
      <x:c r="D919" s="14">
        <x:v>44727</x:v>
      </x:c>
      <x:c r="E919" s="16">
        <x:v>8379</x:v>
      </x:c>
      <x:c r="F919" s="18">
        <x:v>43</x:v>
      </x:c>
    </x:row>
    <x:row r="920">
      <x:c r="A920" t="s">
        <x:v>25</x:v>
      </x:c>
      <x:c r="B920" t="s">
        <x:v>15</x:v>
      </x:c>
      <x:c r="C920" t="s">
        <x:v>51</x:v>
      </x:c>
      <x:c r="D920" s="14">
        <x:v>44708</x:v>
      </x:c>
      <x:c r="E920" s="16">
        <x:v>9268</x:v>
      </x:c>
      <x:c r="F920" s="18">
        <x:v>100</x:v>
      </x:c>
    </x:row>
    <x:row r="921">
      <x:c r="A921" t="s">
        <x:v>46</x:v>
      </x:c>
      <x:c r="B921" t="s">
        <x:v>26</x:v>
      </x:c>
      <x:c r="C921" t="s">
        <x:v>32</x:v>
      </x:c>
      <x:c r="D921" s="14">
        <x:v>44726</x:v>
      </x:c>
      <x:c r="E921" s="16">
        <x:v>1029</x:v>
      </x:c>
      <x:c r="F921" s="18">
        <x:v>98</x:v>
      </x:c>
    </x:row>
    <x:row r="922">
      <x:c r="A922" t="s">
        <x:v>46</x:v>
      </x:c>
      <x:c r="B922" t="s">
        <x:v>10</x:v>
      </x:c>
      <x:c r="C922" t="s">
        <x:v>30</x:v>
      </x:c>
      <x:c r="D922" s="14">
        <x:v>44617</x:v>
      </x:c>
      <x:c r="E922" s="16">
        <x:v>3549</x:v>
      </x:c>
      <x:c r="F922" s="18">
        <x:v>76</x:v>
      </x:c>
    </x:row>
    <x:row r="923">
      <x:c r="A923" t="s">
        <x:v>46</x:v>
      </x:c>
      <x:c r="B923" t="s">
        <x:v>10</x:v>
      </x:c>
      <x:c r="C923" t="s">
        <x:v>20</x:v>
      </x:c>
      <x:c r="D923" s="14">
        <x:v>44777</x:v>
      </x:c>
      <x:c r="E923" s="16">
        <x:v>12026</x:v>
      </x:c>
      <x:c r="F923" s="18">
        <x:v>262</x:v>
      </x:c>
    </x:row>
    <x:row r="924">
      <x:c r="A924" t="s">
        <x:v>49</x:v>
      </x:c>
      <x:c r="B924" t="s">
        <x:v>10</x:v>
      </x:c>
      <x:c r="C924" t="s">
        <x:v>18</x:v>
      </x:c>
      <x:c r="D924" s="14">
        <x:v>44740</x:v>
      </x:c>
      <x:c r="E924" s="16">
        <x:v>2303</x:v>
      </x:c>
      <x:c r="F924" s="18">
        <x:v>244</x:v>
      </x:c>
    </x:row>
    <x:row r="925">
      <x:c r="A925" t="s">
        <x:v>19</x:v>
      </x:c>
      <x:c r="B925" t="s">
        <x:v>29</x:v>
      </x:c>
      <x:c r="C925" t="s">
        <x:v>39</x:v>
      </x:c>
      <x:c r="D925" s="14">
        <x:v>44656</x:v>
      </x:c>
      <x:c r="E925" s="16">
        <x:v>13405</x:v>
      </x:c>
      <x:c r="F925" s="18">
        <x:v>12</x:v>
      </x:c>
    </x:row>
    <x:row r="926">
      <x:c r="A926" t="s">
        <x:v>53</x:v>
      </x:c>
      <x:c r="B926" t="s">
        <x:v>29</x:v>
      </x:c>
      <x:c r="C926" t="s">
        <x:v>13</x:v>
      </x:c>
      <x:c r="D926" s="14">
        <x:v>44747</x:v>
      </x:c>
      <x:c r="E926" s="16">
        <x:v>14763</x:v>
      </x:c>
      <x:c r="F926" s="18">
        <x:v>113</x:v>
      </x:c>
    </x:row>
    <x:row r="927">
      <x:c r="A927" t="s">
        <x:v>41</x:v>
      </x:c>
      <x:c r="B927" t="s">
        <x:v>21</x:v>
      </x:c>
      <x:c r="C927" t="s">
        <x:v>30</x:v>
      </x:c>
      <x:c r="D927" s="14">
        <x:v>44581</x:v>
      </x:c>
      <x:c r="E927" s="16">
        <x:v>12894</x:v>
      </x:c>
      <x:c r="F927" s="18">
        <x:v>48</x:v>
      </x:c>
    </x:row>
    <x:row r="928">
      <x:c r="A928" t="s">
        <x:v>55</x:v>
      </x:c>
      <x:c r="B928" t="s">
        <x:v>21</x:v>
      </x:c>
      <x:c r="C928" t="s">
        <x:v>32</x:v>
      </x:c>
      <x:c r="D928" s="14">
        <x:v>44608</x:v>
      </x:c>
      <x:c r="E928" s="16">
        <x:v>8302</x:v>
      </x:c>
      <x:c r="F928" s="18">
        <x:v>131</x:v>
      </x:c>
    </x:row>
    <x:row r="929">
      <x:c r="A929" t="s">
        <x:v>38</x:v>
      </x:c>
      <x:c r="B929" t="s">
        <x:v>7</x:v>
      </x:c>
      <x:c r="C929" t="s">
        <x:v>32</x:v>
      </x:c>
      <x:c r="D929" s="14">
        <x:v>44754</x:v>
      </x:c>
      <x:c r="E929" s="16">
        <x:v>455</x:v>
      </x:c>
      <x:c r="F929" s="18">
        <x:v>174</x:v>
      </x:c>
    </x:row>
    <x:row r="930">
      <x:c r="A930" t="s">
        <x:v>49</x:v>
      </x:c>
      <x:c r="B930" t="s">
        <x:v>10</x:v>
      </x:c>
      <x:c r="C930" t="s">
        <x:v>51</x:v>
      </x:c>
      <x:c r="D930" s="14">
        <x:v>44728</x:v>
      </x:c>
      <x:c r="E930" s="16">
        <x:v>8183</x:v>
      </x:c>
      <x:c r="F930" s="18">
        <x:v>254</x:v>
      </x:c>
    </x:row>
    <x:row r="931">
      <x:c r="A931" t="s">
        <x:v>54</x:v>
      </x:c>
      <x:c r="B931" t="s">
        <x:v>15</x:v>
      </x:c>
      <x:c r="C931" t="s">
        <x:v>52</x:v>
      </x:c>
      <x:c r="D931" s="14">
        <x:v>44664</x:v>
      </x:c>
      <x:c r="E931" s="16">
        <x:v>1645</x:v>
      </x:c>
      <x:c r="F931" s="18">
        <x:v>284</x:v>
      </x:c>
    </x:row>
    <x:row r="932">
      <x:c r="A932" t="s">
        <x:v>41</x:v>
      </x:c>
      <x:c r="B932" t="s">
        <x:v>7</x:v>
      </x:c>
      <x:c r="C932" t="s">
        <x:v>22</x:v>
      </x:c>
      <x:c r="D932" s="14">
        <x:v>44613</x:v>
      </x:c>
      <x:c r="E932" s="16">
        <x:v>3143</x:v>
      </x:c>
      <x:c r="F932" s="18">
        <x:v>67</x:v>
      </x:c>
    </x:row>
    <x:row r="933">
      <x:c r="A933" t="s">
        <x:v>36</x:v>
      </x:c>
      <x:c r="B933" t="s">
        <x:v>29</x:v>
      </x:c>
      <x:c r="C933" t="s">
        <x:v>52</x:v>
      </x:c>
      <x:c r="D933" s="14">
        <x:v>44692</x:v>
      </x:c>
      <x:c r="E933" s="16">
        <x:v>5873</x:v>
      </x:c>
      <x:c r="F933" s="18">
        <x:v>249</x:v>
      </x:c>
    </x:row>
    <x:row r="934">
      <x:c r="A934" t="s">
        <x:v>55</x:v>
      </x:c>
      <x:c r="B934" t="s">
        <x:v>10</x:v>
      </x:c>
      <x:c r="C934" t="s">
        <x:v>22</x:v>
      </x:c>
      <x:c r="D934" s="14">
        <x:v>44666</x:v>
      </x:c>
      <x:c r="E934" s="16">
        <x:v>11298</x:v>
      </x:c>
      <x:c r="F934" s="18">
        <x:v>313</x:v>
      </x:c>
    </x:row>
    <x:row r="935">
      <x:c r="A935" t="s">
        <x:v>17</x:v>
      </x:c>
      <x:c r="B935" t="s">
        <x:v>29</x:v>
      </x:c>
      <x:c r="C935" t="s">
        <x:v>13</x:v>
      </x:c>
      <x:c r="D935" s="14">
        <x:v>44719</x:v>
      </x:c>
      <x:c r="E935" s="16">
        <x:v>12425</x:v>
      </x:c>
      <x:c r="F935" s="18">
        <x:v>167</x:v>
      </x:c>
    </x:row>
    <x:row r="936">
      <x:c r="A936" t="s">
        <x:v>17</x:v>
      </x:c>
      <x:c r="B936" t="s">
        <x:v>7</x:v>
      </x:c>
      <x:c r="C936" t="s">
        <x:v>44</x:v>
      </x:c>
      <x:c r="D936" s="14">
        <x:v>44739</x:v>
      </x:c>
      <x:c r="E936" s="16">
        <x:v>1715</x:v>
      </x:c>
      <x:c r="F936" s="18">
        <x:v>286</x:v>
      </x:c>
    </x:row>
    <x:row r="937">
      <x:c r="A937" t="s">
        <x:v>25</x:v>
      </x:c>
      <x:c r="B937" t="s">
        <x:v>10</x:v>
      </x:c>
      <x:c r="C937" t="s">
        <x:v>20</x:v>
      </x:c>
      <x:c r="D937" s="14">
        <x:v>44771</x:v>
      </x:c>
      <x:c r="E937" s="16">
        <x:v>8190</x:v>
      </x:c>
      <x:c r="F937" s="18">
        <x:v>109</x:v>
      </x:c>
    </x:row>
    <x:row r="938">
      <x:c r="A938" t="s">
        <x:v>46</x:v>
      </x:c>
      <x:c r="B938" t="s">
        <x:v>29</x:v>
      </x:c>
      <x:c r="C938" t="s">
        <x:v>16</x:v>
      </x:c>
      <x:c r="D938" s="14">
        <x:v>44714</x:v>
      </x:c>
      <x:c r="E938" s="16">
        <x:v>4991</x:v>
      </x:c>
      <x:c r="F938" s="18">
        <x:v>166</x:v>
      </x:c>
    </x:row>
    <x:row r="939">
      <x:c r="A939" t="s">
        <x:v>24</x:v>
      </x:c>
      <x:c r="B939" t="s">
        <x:v>10</x:v>
      </x:c>
      <x:c r="C939" t="s">
        <x:v>8</x:v>
      </x:c>
      <x:c r="D939" s="14">
        <x:v>44587</x:v>
      </x:c>
      <x:c r="E939" s="16">
        <x:v>15491</x:v>
      </x:c>
      <x:c r="F939" s="18">
        <x:v>85</x:v>
      </x:c>
    </x:row>
    <x:row r="940">
      <x:c r="A940" t="s">
        <x:v>24</x:v>
      </x:c>
      <x:c r="B940" t="s">
        <x:v>29</x:v>
      </x:c>
      <x:c r="C940" t="s">
        <x:v>18</x:v>
      </x:c>
      <x:c r="D940" s="14">
        <x:v>44622</x:v>
      </x:c>
      <x:c r="E940" s="16">
        <x:v>5096</x:v>
      </x:c>
      <x:c r="F940" s="18">
        <x:v>142</x:v>
      </x:c>
    </x:row>
    <x:row r="941">
      <x:c r="A941" t="s">
        <x:v>9</x:v>
      </x:c>
      <x:c r="B941" t="s">
        <x:v>15</x:v>
      </x:c>
      <x:c r="C941" t="s">
        <x:v>58</x:v>
      </x:c>
      <x:c r="D941" s="14">
        <x:v>44571</x:v>
      </x:c>
      <x:c r="E941" s="16">
        <x:v>7063</x:v>
      </x:c>
      <x:c r="F941" s="18">
        <x:v>104</x:v>
      </x:c>
    </x:row>
    <x:row r="942">
      <x:c r="A942" t="s">
        <x:v>34</x:v>
      </x:c>
      <x:c r="B942" t="s">
        <x:v>26</x:v>
      </x:c>
      <x:c r="C942" t="s">
        <x:v>58</x:v>
      </x:c>
      <x:c r="D942" s="14">
        <x:v>44739</x:v>
      </x:c>
      <x:c r="E942" s="16">
        <x:v>2275</x:v>
      </x:c>
      <x:c r="F942" s="18">
        <x:v>115</x:v>
      </x:c>
    </x:row>
    <x:row r="943">
      <x:c r="A943" t="s">
        <x:v>25</x:v>
      </x:c>
      <x:c r="B943" t="s">
        <x:v>29</x:v>
      </x:c>
      <x:c r="C943" t="s">
        <x:v>27</x:v>
      </x:c>
      <x:c r="D943" s="14">
        <x:v>44742</x:v>
      </x:c>
      <x:c r="E943" s="16">
        <x:v>7602</x:v>
      </x:c>
      <x:c r="F943" s="18">
        <x:v>18</x:v>
      </x:c>
    </x:row>
    <x:row r="944">
      <x:c r="A944" t="s">
        <x:v>36</x:v>
      </x:c>
      <x:c r="B944" t="s">
        <x:v>15</x:v>
      </x:c>
      <x:c r="C944" t="s">
        <x:v>11</x:v>
      </x:c>
      <x:c r="D944" s="14">
        <x:v>44750</x:v>
      </x:c>
      <x:c r="E944" s="16">
        <x:v>4200</x:v>
      </x:c>
      <x:c r="F944" s="18">
        <x:v>80</x:v>
      </x:c>
    </x:row>
    <x:row r="945">
      <x:c r="A945" t="s">
        <x:v>17</x:v>
      </x:c>
      <x:c r="B945" t="s">
        <x:v>10</x:v>
      </x:c>
      <x:c r="C945" t="s">
        <x:v>39</x:v>
      </x:c>
      <x:c r="D945" s="14">
        <x:v>44720</x:v>
      </x:c>
      <x:c r="E945" s="16">
        <x:v>11137</x:v>
      </x:c>
      <x:c r="F945" s="18">
        <x:v>88</x:v>
      </x:c>
    </x:row>
    <x:row r="946">
      <x:c r="A946" t="s">
        <x:v>14</x:v>
      </x:c>
      <x:c r="B946" t="s">
        <x:v>7</x:v>
      </x:c>
      <x:c r="C946" t="s">
        <x:v>45</x:v>
      </x:c>
      <x:c r="D946" s="14">
        <x:v>44791</x:v>
      </x:c>
      <x:c r="E946" s="16">
        <x:v>3388</x:v>
      </x:c>
      <x:c r="F946" s="18">
        <x:v>212</x:v>
      </x:c>
    </x:row>
    <x:row r="947">
      <x:c r="A947" t="s">
        <x:v>41</x:v>
      </x:c>
      <x:c r="B947" t="s">
        <x:v>15</x:v>
      </x:c>
      <x:c r="C947" t="s">
        <x:v>20</x:v>
      </x:c>
      <x:c r="D947" s="14">
        <x:v>44659</x:v>
      </x:c>
      <x:c r="E947" s="16">
        <x:v>6832</x:v>
      </x:c>
      <x:c r="F947" s="18">
        <x:v>306</x:v>
      </x:c>
    </x:row>
    <x:row r="948">
      <x:c r="A948" t="s">
        <x:v>46</x:v>
      </x:c>
      <x:c r="B948" t="s">
        <x:v>29</x:v>
      </x:c>
      <x:c r="C948" t="s">
        <x:v>42</x:v>
      </x:c>
      <x:c r="D948" s="14">
        <x:v>44781</x:v>
      </x:c>
      <x:c r="E948" s="16">
        <x:v>3437</x:v>
      </x:c>
      <x:c r="F948" s="18">
        <x:v>181</x:v>
      </x:c>
    </x:row>
    <x:row r="949">
      <x:c r="A949" t="s">
        <x:v>46</x:v>
      </x:c>
      <x:c r="B949" t="s">
        <x:v>7</x:v>
      </x:c>
      <x:c r="C949" t="s">
        <x:v>37</x:v>
      </x:c>
      <x:c r="D949" s="14">
        <x:v>44799</x:v>
      </x:c>
      <x:c r="E949" s="16">
        <x:v>301</x:v>
      </x:c>
      <x:c r="F949" s="18">
        <x:v>65</x:v>
      </x:c>
    </x:row>
    <x:row r="950">
      <x:c r="A950" t="s">
        <x:v>17</x:v>
      </x:c>
      <x:c r="B950" t="s">
        <x:v>29</x:v>
      </x:c>
      <x:c r="C950" t="s">
        <x:v>42</x:v>
      </x:c>
      <x:c r="D950" s="14">
        <x:v>44575</x:v>
      </x:c>
      <x:c r="E950" s="16">
        <x:v>1869</x:v>
      </x:c>
      <x:c r="F950" s="18">
        <x:v>158</x:v>
      </x:c>
    </x:row>
    <x:row r="951">
      <x:c r="A951" t="s">
        <x:v>43</x:v>
      </x:c>
      <x:c r="B951" t="s">
        <x:v>26</x:v>
      </x:c>
      <x:c r="C951" t="s">
        <x:v>56</x:v>
      </x:c>
      <x:c r="D951" s="14">
        <x:v>44784</x:v>
      </x:c>
      <x:c r="E951" s="16">
        <x:v>17465</x:v>
      </x:c>
      <x:c r="F951" s="18">
        <x:v>271</x:v>
      </x:c>
    </x:row>
    <x:row r="952">
      <x:c r="A952" t="s">
        <x:v>53</x:v>
      </x:c>
      <x:c r="B952" t="s">
        <x:v>26</x:v>
      </x:c>
      <x:c r="C952" t="s">
        <x:v>47</x:v>
      </x:c>
      <x:c r="D952" s="14">
        <x:v>44712</x:v>
      </x:c>
      <x:c r="E952" s="16">
        <x:v>10143</x:v>
      </x:c>
      <x:c r="F952" s="18">
        <x:v>24</x:v>
      </x:c>
    </x:row>
    <x:row r="953">
      <x:c r="A953" t="s">
        <x:v>9</x:v>
      </x:c>
      <x:c r="B953" t="s">
        <x:v>21</x:v>
      </x:c>
      <x:c r="C953" t="s">
        <x:v>22</x:v>
      </x:c>
      <x:c r="D953" s="14">
        <x:v>44753</x:v>
      </x:c>
      <x:c r="E953" s="16">
        <x:v>3626</x:v>
      </x:c>
      <x:c r="F953" s="18">
        <x:v>10</x:v>
      </x:c>
    </x:row>
    <x:row r="954">
      <x:c r="A954" t="s">
        <x:v>31</x:v>
      </x:c>
      <x:c r="B954" t="s">
        <x:v>29</x:v>
      </x:c>
      <x:c r="C954" t="s">
        <x:v>57</x:v>
      </x:c>
      <x:c r="D954" s="14">
        <x:v>44622</x:v>
      </x:c>
      <x:c r="E954" s="16">
        <x:v>3346</x:v>
      </x:c>
      <x:c r="F954" s="18">
        <x:v>304</x:v>
      </x:c>
    </x:row>
    <x:row r="955">
      <x:c r="A955" t="s">
        <x:v>53</x:v>
      </x:c>
      <x:c r="B955" t="s">
        <x:v>15</x:v>
      </x:c>
      <x:c r="C955" t="s">
        <x:v>51</x:v>
      </x:c>
      <x:c r="D955" s="14">
        <x:v>44755</x:v>
      </x:c>
      <x:c r="E955" s="16">
        <x:v>6321</x:v>
      </x:c>
      <x:c r="F955" s="18">
        <x:v>88</x:v>
      </x:c>
    </x:row>
    <x:row r="956">
      <x:c r="A956" t="s">
        <x:v>24</x:v>
      </x:c>
      <x:c r="B956" t="s">
        <x:v>7</x:v>
      </x:c>
      <x:c r="C956" t="s">
        <x:v>39</x:v>
      </x:c>
      <x:c r="D956" s="14">
        <x:v>44776</x:v>
      </x:c>
      <x:c r="E956" s="16">
        <x:v>9345</x:v>
      </x:c>
      <x:c r="F956" s="18">
        <x:v>133</x:v>
      </x:c>
    </x:row>
    <x:row r="957">
      <x:c r="A957" t="s">
        <x:v>38</x:v>
      </x:c>
      <x:c r="B957" t="s">
        <x:v>7</x:v>
      </x:c>
      <x:c r="C957" t="s">
        <x:v>13</x:v>
      </x:c>
      <x:c r="D957" s="14">
        <x:v>44621</x:v>
      </x:c>
      <x:c r="E957" s="16">
        <x:v>15008</x:v>
      </x:c>
      <x:c r="F957" s="18">
        <x:v>165</x:v>
      </x:c>
    </x:row>
    <x:row r="958">
      <x:c r="A958" t="s">
        <x:v>49</x:v>
      </x:c>
      <x:c r="B958" t="s">
        <x:v>21</x:v>
      </x:c>
      <x:c r="C958" t="s">
        <x:v>44</x:v>
      </x:c>
      <x:c r="D958" s="14">
        <x:v>44664</x:v>
      </x:c>
      <x:c r="E958" s="16">
        <x:v>7609</x:v>
      </x:c>
      <x:c r="F958" s="18">
        <x:v>150</x:v>
      </x:c>
    </x:row>
    <x:row r="959">
      <x:c r="A959" t="s">
        <x:v>34</x:v>
      </x:c>
      <x:c r="B959" t="s">
        <x:v>29</x:v>
      </x:c>
      <x:c r="C959" t="s">
        <x:v>42</x:v>
      </x:c>
      <x:c r="D959" s="14">
        <x:v>44606</x:v>
      </x:c>
      <x:c r="E959" s="16">
        <x:v>10332</x:v>
      </x:c>
      <x:c r="F959" s="18">
        <x:v>180</x:v>
      </x:c>
    </x:row>
    <x:row r="960">
      <x:c r="A960" t="s">
        <x:v>28</x:v>
      </x:c>
      <x:c r="B960" t="s">
        <x:v>10</x:v>
      </x:c>
      <x:c r="C960" t="s">
        <x:v>44</x:v>
      </x:c>
      <x:c r="D960" s="14">
        <x:v>44768</x:v>
      </x:c>
      <x:c r="E960" s="16">
        <x:v>819</x:v>
      </x:c>
      <x:c r="F960" s="18">
        <x:v>213</x:v>
      </x:c>
    </x:row>
    <x:row r="961">
      <x:c r="A961" t="s">
        <x:v>23</x:v>
      </x:c>
      <x:c r="B961" t="s">
        <x:v>7</x:v>
      </x:c>
      <x:c r="C961" t="s">
        <x:v>32</x:v>
      </x:c>
      <x:c r="D961" s="14">
        <x:v>44588</x:v>
      </x:c>
      <x:c r="E961" s="16">
        <x:v>5754</x:v>
      </x:c>
      <x:c r="F961" s="18">
        <x:v>133</x:v>
      </x:c>
    </x:row>
    <x:row r="962">
      <x:c r="A962" t="s">
        <x:v>6</x:v>
      </x:c>
      <x:c r="B962" t="s">
        <x:v>10</x:v>
      </x:c>
      <x:c r="C962" t="s">
        <x:v>13</x:v>
      </x:c>
      <x:c r="D962" s="14">
        <x:v>44665</x:v>
      </x:c>
      <x:c r="E962" s="16">
        <x:v>28</x:v>
      </x:c>
      <x:c r="F962" s="18">
        <x:v>446</x:v>
      </x:c>
    </x:row>
    <x:row r="963">
      <x:c r="A963" t="s">
        <x:v>17</x:v>
      </x:c>
      <x:c r="B963" t="s">
        <x:v>26</x:v>
      </x:c>
      <x:c r="C963" t="s">
        <x:v>47</x:v>
      </x:c>
      <x:c r="D963" s="14">
        <x:v>44700</x:v>
      </x:c>
      <x:c r="E963" s="16">
        <x:v>6440</x:v>
      </x:c>
      <x:c r="F963" s="18">
        <x:v>141</x:v>
      </x:c>
    </x:row>
    <x:row r="964">
      <x:c r="A964" t="s">
        <x:v>40</x:v>
      </x:c>
      <x:c r="B964" t="s">
        <x:v>10</x:v>
      </x:c>
      <x:c r="C964" t="s">
        <x:v>30</x:v>
      </x:c>
      <x:c r="D964" s="14">
        <x:v>44601</x:v>
      </x:c>
      <x:c r="E964" s="16">
        <x:v>4956</x:v>
      </x:c>
      <x:c r="F964" s="18">
        <x:v>58</x:v>
      </x:c>
    </x:row>
    <x:row r="965">
      <x:c r="A965" t="s">
        <x:v>23</x:v>
      </x:c>
      <x:c r="B965" t="s">
        <x:v>7</x:v>
      </x:c>
      <x:c r="C965" t="s">
        <x:v>39</x:v>
      </x:c>
      <x:c r="D965" s="14">
        <x:v>44706</x:v>
      </x:c>
      <x:c r="E965" s="16">
        <x:v>2352</x:v>
      </x:c>
      <x:c r="F965" s="18">
        <x:v>58</x:v>
      </x:c>
    </x:row>
    <x:row r="966">
      <x:c r="A966" t="s">
        <x:v>17</x:v>
      </x:c>
      <x:c r="B966" t="s">
        <x:v>15</x:v>
      </x:c>
      <x:c r="C966" t="s">
        <x:v>45</x:v>
      </x:c>
      <x:c r="D966" s="14">
        <x:v>44587</x:v>
      </x:c>
      <x:c r="E966" s="16">
        <x:v>3906</x:v>
      </x:c>
      <x:c r="F966" s="18">
        <x:v>76</x:v>
      </x:c>
    </x:row>
    <x:row r="967">
      <x:c r="A967" t="s">
        <x:v>34</x:v>
      </x:c>
      <x:c r="B967" t="s">
        <x:v>10</x:v>
      </x:c>
      <x:c r="C967" t="s">
        <x:v>44</x:v>
      </x:c>
      <x:c r="D967" s="14">
        <x:v>44746</x:v>
      </x:c>
      <x:c r="E967" s="16">
        <x:v>1813</x:v>
      </x:c>
      <x:c r="F967" s="18">
        <x:v>296</x:v>
      </x:c>
    </x:row>
    <x:row r="968">
      <x:c r="A968" t="s">
        <x:v>55</x:v>
      </x:c>
      <x:c r="B968" t="s">
        <x:v>10</x:v>
      </x:c>
      <x:c r="C968" t="s">
        <x:v>47</x:v>
      </x:c>
      <x:c r="D968" s="14">
        <x:v>44664</x:v>
      </x:c>
      <x:c r="E968" s="16">
        <x:v>11788</x:v>
      </x:c>
      <x:c r="F968" s="18">
        <x:v>73</x:v>
      </x:c>
    </x:row>
    <x:row r="969">
      <x:c r="A969" t="s">
        <x:v>12</x:v>
      </x:c>
      <x:c r="B969" t="s">
        <x:v>15</x:v>
      </x:c>
      <x:c r="C969" t="s">
        <x:v>16</x:v>
      </x:c>
      <x:c r="D969" s="14">
        <x:v>44586</x:v>
      </x:c>
      <x:c r="E969" s="16">
        <x:v>5768</x:v>
      </x:c>
      <x:c r="F969" s="18">
        <x:v>119</x:v>
      </x:c>
    </x:row>
    <x:row r="970">
      <x:c r="A970" t="s">
        <x:v>50</x:v>
      </x:c>
      <x:c r="B970" t="s">
        <x:v>26</x:v>
      </x:c>
      <x:c r="C970" t="s">
        <x:v>11</x:v>
      </x:c>
      <x:c r="D970" s="14">
        <x:v>44676</x:v>
      </x:c>
      <x:c r="E970" s="16">
        <x:v>2401</x:v>
      </x:c>
      <x:c r="F970" s="18">
        <x:v>78</x:v>
      </x:c>
    </x:row>
    <x:row r="971">
      <x:c r="A971" t="s">
        <x:v>50</x:v>
      </x:c>
      <x:c r="B971" t="s">
        <x:v>26</x:v>
      </x:c>
      <x:c r="C971" t="s">
        <x:v>30</x:v>
      </x:c>
      <x:c r="D971" s="14">
        <x:v>44722</x:v>
      </x:c>
      <x:c r="E971" s="16">
        <x:v>4515</x:v>
      </x:c>
      <x:c r="F971" s="18">
        <x:v>392</x:v>
      </x:c>
    </x:row>
    <x:row r="972">
      <x:c r="A972" t="s">
        <x:v>53</x:v>
      </x:c>
      <x:c r="B972" t="s">
        <x:v>21</x:v>
      </x:c>
      <x:c r="C972" t="s">
        <x:v>44</x:v>
      </x:c>
      <x:c r="D972" s="14">
        <x:v>44795</x:v>
      </x:c>
      <x:c r="E972" s="16">
        <x:v>10794</x:v>
      </x:c>
      <x:c r="F972" s="18">
        <x:v>51</x:v>
      </x:c>
    </x:row>
    <x:row r="973">
      <x:c r="A973" t="s">
        <x:v>9</x:v>
      </x:c>
      <x:c r="B973" t="s">
        <x:v>10</x:v>
      </x:c>
      <x:c r="C973" t="s">
        <x:v>20</x:v>
      </x:c>
      <x:c r="D973" s="14">
        <x:v>44739</x:v>
      </x:c>
      <x:c r="E973" s="16">
        <x:v>13706</x:v>
      </x:c>
      <x:c r="F973" s="18">
        <x:v>207</x:v>
      </x:c>
    </x:row>
    <x:row r="974">
      <x:c r="A974" t="s">
        <x:v>40</x:v>
      </x:c>
      <x:c r="B974" t="s">
        <x:v>10</x:v>
      </x:c>
      <x:c r="C974" t="s">
        <x:v>27</x:v>
      </x:c>
      <x:c r="D974" s="14">
        <x:v>44742</x:v>
      </x:c>
      <x:c r="E974" s="16">
        <x:v>4361</x:v>
      </x:c>
      <x:c r="F974" s="18">
        <x:v>40</x:v>
      </x:c>
    </x:row>
    <x:row r="975">
      <x:c r="A975" t="s">
        <x:v>6</x:v>
      </x:c>
      <x:c r="B975" t="s">
        <x:v>10</x:v>
      </x:c>
      <x:c r="C975" t="s">
        <x:v>47</x:v>
      </x:c>
      <x:c r="D975" s="14">
        <x:v>44803</x:v>
      </x:c>
      <x:c r="E975" s="16">
        <x:v>10122</x:v>
      </x:c>
      <x:c r="F975" s="18">
        <x:v>100</x:v>
      </x:c>
    </x:row>
    <x:row r="976">
      <x:c r="A976" t="s">
        <x:v>31</x:v>
      </x:c>
      <x:c r="B976" t="s">
        <x:v>15</x:v>
      </x:c>
      <x:c r="C976" t="s">
        <x:v>51</x:v>
      </x:c>
      <x:c r="D976" s="14">
        <x:v>44796</x:v>
      </x:c>
      <x:c r="E976" s="16">
        <x:v>994</x:v>
      </x:c>
      <x:c r="F976" s="18">
        <x:v>57</x:v>
      </x:c>
    </x:row>
    <x:row r="977">
      <x:c r="A977" t="s">
        <x:v>50</x:v>
      </x:c>
      <x:c r="B977" t="s">
        <x:v>21</x:v>
      </x:c>
      <x:c r="C977" t="s">
        <x:v>18</x:v>
      </x:c>
      <x:c r="D977" s="14">
        <x:v>44799</x:v>
      </x:c>
      <x:c r="E977" s="16">
        <x:v>2268</x:v>
      </x:c>
      <x:c r="F977" s="18">
        <x:v>42</x:v>
      </x:c>
    </x:row>
    <x:row r="978">
      <x:c r="A978" t="s">
        <x:v>12</x:v>
      </x:c>
      <x:c r="B978" t="s">
        <x:v>15</x:v>
      </x:c>
      <x:c r="C978" t="s">
        <x:v>27</x:v>
      </x:c>
      <x:c r="D978" s="14">
        <x:v>44629</x:v>
      </x:c>
      <x:c r="E978" s="16">
        <x:v>574</x:v>
      </x:c>
      <x:c r="F978" s="18">
        <x:v>156</x:v>
      </x:c>
    </x:row>
    <x:row r="979">
      <x:c r="A979" t="s">
        <x:v>49</x:v>
      </x:c>
      <x:c r="B979" t="s">
        <x:v>7</x:v>
      </x:c>
      <x:c r="C979" t="s">
        <x:v>32</x:v>
      </x:c>
      <x:c r="D979" s="14">
        <x:v>44671</x:v>
      </x:c>
      <x:c r="E979" s="16">
        <x:v>1792</x:v>
      </x:c>
      <x:c r="F979" s="18">
        <x:v>23</x:v>
      </x:c>
    </x:row>
    <x:row r="980">
      <x:c r="A980" t="s">
        <x:v>28</x:v>
      </x:c>
      <x:c r="B980" t="s">
        <x:v>29</x:v>
      </x:c>
      <x:c r="C980" t="s">
        <x:v>57</x:v>
      </x:c>
      <x:c r="D980" s="14">
        <x:v>44722</x:v>
      </x:c>
      <x:c r="E980" s="16">
        <x:v>4844</x:v>
      </x:c>
      <x:c r="F980" s="18">
        <x:v>539</x:v>
      </x:c>
    </x:row>
    <x:row r="981">
      <x:c r="A981" t="s">
        <x:v>40</x:v>
      </x:c>
      <x:c r="B981" t="s">
        <x:v>15</x:v>
      </x:c>
      <x:c r="C981" t="s">
        <x:v>35</x:v>
      </x:c>
      <x:c r="D981" s="14">
        <x:v>44600</x:v>
      </x:c>
      <x:c r="E981" s="16">
        <x:v>938</x:v>
      </x:c>
      <x:c r="F981" s="18">
        <x:v>158</x:v>
      </x:c>
    </x:row>
    <x:row r="982">
      <x:c r="A982" t="s">
        <x:v>23</x:v>
      </x:c>
      <x:c r="B982" t="s">
        <x:v>15</x:v>
      </x:c>
      <x:c r="C982" t="s">
        <x:v>44</x:v>
      </x:c>
      <x:c r="D982" s="14">
        <x:v>44798</x:v>
      </x:c>
      <x:c r="E982" s="16">
        <x:v>4879</x:v>
      </x:c>
      <x:c r="F982" s="18">
        <x:v>22</x:v>
      </x:c>
    </x:row>
    <x:row r="983">
      <x:c r="A983" t="s">
        <x:v>54</x:v>
      </x:c>
      <x:c r="B983" t="s">
        <x:v>10</x:v>
      </x:c>
      <x:c r="C983" t="s">
        <x:v>13</x:v>
      </x:c>
      <x:c r="D983" s="14">
        <x:v>44608</x:v>
      </x:c>
      <x:c r="E983" s="16">
        <x:v>9107</x:v>
      </x:c>
      <x:c r="F983" s="18">
        <x:v>73</x:v>
      </x:c>
    </x:row>
    <x:row r="984">
      <x:c r="A984" t="s">
        <x:v>43</x:v>
      </x:c>
      <x:c r="B984" t="s">
        <x:v>7</x:v>
      </x:c>
      <x:c r="C984" t="s">
        <x:v>18</x:v>
      </x:c>
      <x:c r="D984" s="14">
        <x:v>44711</x:v>
      </x:c>
      <x:c r="E984" s="16">
        <x:v>12187</x:v>
      </x:c>
      <x:c r="F984" s="18">
        <x:v>27</x:v>
      </x:c>
    </x:row>
    <x:row r="985">
      <x:c r="A985" t="s">
        <x:v>12</x:v>
      </x:c>
      <x:c r="B985" t="s">
        <x:v>21</x:v>
      </x:c>
      <x:c r="C985" t="s">
        <x:v>22</x:v>
      </x:c>
      <x:c r="D985" s="14">
        <x:v>44741</x:v>
      </x:c>
      <x:c r="E985" s="16">
        <x:v>5670</x:v>
      </x:c>
      <x:c r="F985" s="18">
        <x:v>64</x:v>
      </x:c>
    </x:row>
    <x:row r="986">
      <x:c r="A986" t="s">
        <x:v>12</x:v>
      </x:c>
      <x:c r="B986" t="s">
        <x:v>26</x:v>
      </x:c>
      <x:c r="C986" t="s">
        <x:v>37</x:v>
      </x:c>
      <x:c r="D986" s="14">
        <x:v>44728</x:v>
      </x:c>
      <x:c r="E986" s="16">
        <x:v>476</x:v>
      </x:c>
      <x:c r="F986" s="18">
        <x:v>133</x:v>
      </x:c>
    </x:row>
    <x:row r="987">
      <x:c r="A987" t="s">
        <x:v>23</x:v>
      </x:c>
      <x:c r="B987" t="s">
        <x:v>7</x:v>
      </x:c>
      <x:c r="C987" t="s">
        <x:v>57</x:v>
      </x:c>
      <x:c r="D987" s="14">
        <x:v>44624</x:v>
      </x:c>
      <x:c r="E987" s="16">
        <x:v>2681</x:v>
      </x:c>
      <x:c r="F987" s="18">
        <x:v>149</x:v>
      </x:c>
    </x:row>
    <x:row r="988">
      <x:c r="A988" t="s">
        <x:v>38</x:v>
      </x:c>
      <x:c r="B988" t="s">
        <x:v>21</x:v>
      </x:c>
      <x:c r="C988" t="s">
        <x:v>13</x:v>
      </x:c>
      <x:c r="D988" s="14">
        <x:v>44635</x:v>
      </x:c>
      <x:c r="E988" s="16">
        <x:v>1533</x:v>
      </x:c>
      <x:c r="F988" s="18">
        <x:v>434</x:v>
      </x:c>
    </x:row>
    <x:row r="989">
      <x:c r="A989" t="s">
        <x:v>38</x:v>
      </x:c>
      <x:c r="B989" t="s">
        <x:v>21</x:v>
      </x:c>
      <x:c r="C989" t="s">
        <x:v>22</x:v>
      </x:c>
      <x:c r="D989" s="14">
        <x:v>44588</x:v>
      </x:c>
      <x:c r="E989" s="16">
        <x:v>9765</x:v>
      </x:c>
      <x:c r="F989" s="18">
        <x:v>85</x:v>
      </x:c>
    </x:row>
    <x:row r="990">
      <x:c r="A990" t="s">
        <x:v>34</x:v>
      </x:c>
      <x:c r="B990" t="s">
        <x:v>29</x:v>
      </x:c>
      <x:c r="C990" t="s">
        <x:v>32</x:v>
      </x:c>
      <x:c r="D990" s="14">
        <x:v>44747</x:v>
      </x:c>
      <x:c r="E990" s="16">
        <x:v>994</x:v>
      </x:c>
      <x:c r="F990" s="18">
        <x:v>118</x:v>
      </x:c>
    </x:row>
    <x:row r="991">
      <x:c r="A991" t="s">
        <x:v>25</x:v>
      </x:c>
      <x:c r="B991" t="s">
        <x:v>26</x:v>
      </x:c>
      <x:c r="C991" t="s">
        <x:v>57</x:v>
      </x:c>
      <x:c r="D991" s="14">
        <x:v>44649</x:v>
      </x:c>
      <x:c r="E991" s="16">
        <x:v>3318</x:v>
      </x:c>
      <x:c r="F991" s="18">
        <x:v>299</x:v>
      </x:c>
    </x:row>
    <x:row r="992">
      <x:c r="A992" t="s">
        <x:v>28</x:v>
      </x:c>
      <x:c r="B992" t="s">
        <x:v>29</x:v>
      </x:c>
      <x:c r="C992" t="s">
        <x:v>47</x:v>
      </x:c>
      <x:c r="D992" s="14">
        <x:v>44693</x:v>
      </x:c>
      <x:c r="E992" s="16">
        <x:v>4214</x:v>
      </x:c>
      <x:c r="F992" s="18">
        <x:v>35</x:v>
      </x:c>
    </x:row>
    <x:row r="993">
      <x:c r="A993" t="s">
        <x:v>17</x:v>
      </x:c>
      <x:c r="B993" t="s">
        <x:v>26</x:v>
      </x:c>
      <x:c r="C993" t="s">
        <x:v>32</x:v>
      </x:c>
      <x:c r="D993" s="14">
        <x:v>44631</x:v>
      </x:c>
      <x:c r="E993" s="16">
        <x:v>7714</x:v>
      </x:c>
      <x:c r="F993" s="18">
        <x:v>44</x:v>
      </x:c>
    </x:row>
    <x:row r="994">
      <x:c r="A994" t="s">
        <x:v>23</x:v>
      </x:c>
      <x:c r="B994" t="s">
        <x:v>21</x:v>
      </x:c>
      <x:c r="C994" t="s">
        <x:v>30</x:v>
      </x:c>
      <x:c r="D994" s="14">
        <x:v>44753</x:v>
      </x:c>
      <x:c r="E994" s="16">
        <x:v>4690</x:v>
      </x:c>
      <x:c r="F994" s="18">
        <x:v>299</x:v>
      </x:c>
    </x:row>
    <x:row r="995">
      <x:c r="A995" t="s">
        <x:v>19</x:v>
      </x:c>
      <x:c r="B995" t="s">
        <x:v>21</x:v>
      </x:c>
      <x:c r="C995" t="s">
        <x:v>52</x:v>
      </x:c>
      <x:c r="D995" s="14">
        <x:v>44774</x:v>
      </x:c>
      <x:c r="E995" s="16">
        <x:v>13062</x:v>
      </x:c>
      <x:c r="F995" s="18">
        <x:v>62</x:v>
      </x:c>
    </x:row>
    <x:row r="996">
      <x:c r="A996" t="s">
        <x:v>19</x:v>
      </x:c>
      <x:c r="B996" t="s">
        <x:v>7</x:v>
      </x:c>
      <x:c r="C996" t="s">
        <x:v>39</x:v>
      </x:c>
      <x:c r="D996" s="14">
        <x:v>44608</x:v>
      </x:c>
      <x:c r="E996" s="16">
        <x:v>12488</x:v>
      </x:c>
      <x:c r="F996" s="18">
        <x:v>200</x:v>
      </x:c>
    </x:row>
    <x:row r="997">
      <x:c r="A997" t="s">
        <x:v>38</x:v>
      </x:c>
      <x:c r="B997" t="s">
        <x:v>26</x:v>
      </x:c>
      <x:c r="C997" t="s">
        <x:v>20</x:v>
      </x:c>
      <x:c r="D997" s="14">
        <x:v>44664</x:v>
      </x:c>
      <x:c r="E997" s="16">
        <x:v>14147</x:v>
      </x:c>
      <x:c r="F997" s="18">
        <x:v>235</x:v>
      </x:c>
    </x:row>
    <x:row r="998">
      <x:c r="A998" t="s">
        <x:v>17</x:v>
      </x:c>
      <x:c r="B998" t="s">
        <x:v>10</x:v>
      </x:c>
      <x:c r="C998" t="s">
        <x:v>52</x:v>
      </x:c>
      <x:c r="D998" s="14">
        <x:v>44606</x:v>
      </x:c>
      <x:c r="E998" s="16">
        <x:v>49</x:v>
      </x:c>
      <x:c r="F998" s="18">
        <x:v>363</x:v>
      </x:c>
    </x:row>
    <x:row r="999">
      <x:c r="A999" t="s">
        <x:v>55</x:v>
      </x:c>
      <x:c r="B999" t="s">
        <x:v>15</x:v>
      </x:c>
      <x:c r="C999" t="s">
        <x:v>13</x:v>
      </x:c>
      <x:c r="D999" s="14">
        <x:v>44634</x:v>
      </x:c>
      <x:c r="E999" s="16">
        <x:v>10199</x:v>
      </x:c>
      <x:c r="F999" s="18">
        <x:v>68</x:v>
      </x:c>
    </x:row>
    <x:row r="1000">
      <x:c r="A1000" t="s">
        <x:v>17</x:v>
      </x:c>
      <x:c r="B1000" t="s">
        <x:v>15</x:v>
      </x:c>
      <x:c r="C1000" t="s">
        <x:v>39</x:v>
      </x:c>
      <x:c r="D1000" s="14">
        <x:v>44677</x:v>
      </x:c>
      <x:c r="E1000" s="16">
        <x:v>11389</x:v>
      </x:c>
      <x:c r="F1000" s="18">
        <x:v>26</x:v>
      </x:c>
    </x:row>
    <x:row r="1001">
      <x:c r="A1001" t="s">
        <x:v>6</x:v>
      </x:c>
      <x:c r="B1001" t="s">
        <x:v>29</x:v>
      </x:c>
      <x:c r="C1001" t="s">
        <x:v>45</x:v>
      </x:c>
      <x:c r="D1001" s="14">
        <x:v>44656</x:v>
      </x:c>
      <x:c r="E1001" s="16">
        <x:v>3584</x:v>
      </x:c>
      <x:c r="F1001" s="18">
        <x:v>200</x:v>
      </x:c>
    </x:row>
    <x:row r="1002">
      <x:c r="A1002" t="s">
        <x:v>50</x:v>
      </x:c>
      <x:c r="B1002" t="s">
        <x:v>29</x:v>
      </x:c>
      <x:c r="C1002" t="s">
        <x:v>32</x:v>
      </x:c>
      <x:c r="D1002" s="14">
        <x:v>44623</x:v>
      </x:c>
      <x:c r="E1002" s="16">
        <x:v>12481</x:v>
      </x:c>
      <x:c r="F1002" s="18">
        <x:v>264</x:v>
      </x:c>
    </x:row>
    <x:row r="1003">
      <x:c r="A1003" t="s">
        <x:v>41</x:v>
      </x:c>
      <x:c r="B1003" t="s">
        <x:v>26</x:v>
      </x:c>
      <x:c r="C1003" t="s">
        <x:v>39</x:v>
      </x:c>
      <x:c r="D1003" s="14">
        <x:v>44725</x:v>
      </x:c>
      <x:c r="E1003" s="16">
        <x:v>2107</x:v>
      </x:c>
      <x:c r="F1003" s="18">
        <x:v>175</x:v>
      </x:c>
    </x:row>
    <x:row r="1004">
      <x:c r="A1004" t="s">
        <x:v>33</x:v>
      </x:c>
      <x:c r="B1004" t="s">
        <x:v>21</x:v>
      </x:c>
      <x:c r="C1004" t="s">
        <x:v>58</x:v>
      </x:c>
      <x:c r="D1004" s="14">
        <x:v>44606</x:v>
      </x:c>
      <x:c r="E1004" s="16">
        <x:v>8603</x:v>
      </x:c>
      <x:c r="F1004" s="18">
        <x:v>352</x:v>
      </x:c>
    </x:row>
    <x:row r="1005">
      <x:c r="A1005" t="s">
        <x:v>36</x:v>
      </x:c>
      <x:c r="B1005" t="s">
        <x:v>21</x:v>
      </x:c>
      <x:c r="C1005" t="s">
        <x:v>18</x:v>
      </x:c>
      <x:c r="D1005" s="14">
        <x:v>44669</x:v>
      </x:c>
      <x:c r="E1005" s="16">
        <x:v>7483</x:v>
      </x:c>
      <x:c r="F1005" s="18">
        <x:v>183</x:v>
      </x:c>
    </x:row>
    <x:row r="1006">
      <x:c r="A1006" t="s">
        <x:v>17</x:v>
      </x:c>
      <x:c r="B1006" t="s">
        <x:v>21</x:v>
      </x:c>
      <x:c r="C1006" t="s">
        <x:v>11</x:v>
      </x:c>
      <x:c r="D1006" s="14">
        <x:v>44593</x:v>
      </x:c>
      <x:c r="E1006" s="16">
        <x:v>3381</x:v>
      </x:c>
      <x:c r="F1006" s="18">
        <x:v>417</x:v>
      </x:c>
    </x:row>
    <x:row r="1007">
      <x:c r="A1007" t="s">
        <x:v>54</x:v>
      </x:c>
      <x:c r="B1007" t="s">
        <x:v>21</x:v>
      </x:c>
      <x:c r="C1007" t="s">
        <x:v>27</x:v>
      </x:c>
      <x:c r="D1007" s="14">
        <x:v>44777</x:v>
      </x:c>
      <x:c r="E1007" s="16">
        <x:v>2030</x:v>
      </x:c>
      <x:c r="F1007" s="18">
        <x:v>146</x:v>
      </x:c>
    </x:row>
    <x:row r="1008">
      <x:c r="A1008" t="s">
        <x:v>48</x:v>
      </x:c>
      <x:c r="B1008" t="s">
        <x:v>21</x:v>
      </x:c>
      <x:c r="C1008" t="s">
        <x:v>47</x:v>
      </x:c>
      <x:c r="D1008" s="14">
        <x:v>44656</x:v>
      </x:c>
      <x:c r="E1008" s="16">
        <x:v>6559</x:v>
      </x:c>
      <x:c r="F1008" s="18">
        <x:v>158</x:v>
      </x:c>
    </x:row>
    <x:row r="1009">
      <x:c r="A1009" t="s">
        <x:v>31</x:v>
      </x:c>
      <x:c r="B1009" t="s">
        <x:v>15</x:v>
      </x:c>
      <x:c r="C1009" t="s">
        <x:v>18</x:v>
      </x:c>
      <x:c r="D1009" s="14">
        <x:v>44587</x:v>
      </x:c>
      <x:c r="E1009" s="16">
        <x:v>10822</x:v>
      </x:c>
      <x:c r="F1009" s="18">
        <x:v>168</x:v>
      </x:c>
    </x:row>
    <x:row r="1010">
      <x:c r="A1010" t="s">
        <x:v>41</x:v>
      </x:c>
      <x:c r="B1010" t="s">
        <x:v>7</x:v>
      </x:c>
      <x:c r="C1010" t="s">
        <x:v>20</x:v>
      </x:c>
      <x:c r="D1010" s="14">
        <x:v>44582</x:v>
      </x:c>
      <x:c r="E1010" s="16">
        <x:v>18697</x:v>
      </x:c>
      <x:c r="F1010" s="18">
        <x:v>176</x:v>
      </x:c>
    </x:row>
    <x:row r="1011">
      <x:c r="A1011" t="s">
        <x:v>41</x:v>
      </x:c>
      <x:c r="B1011" t="s">
        <x:v>29</x:v>
      </x:c>
      <x:c r="C1011" t="s">
        <x:v>20</x:v>
      </x:c>
      <x:c r="D1011" s="14">
        <x:v>44795</x:v>
      </x:c>
      <x:c r="E1011" s="16">
        <x:v>5845</x:v>
      </x:c>
      <x:c r="F1011" s="18">
        <x:v>172</x:v>
      </x:c>
    </x:row>
    <x:row r="1012">
      <x:c r="A1012" t="s">
        <x:v>41</x:v>
      </x:c>
      <x:c r="B1012" t="s">
        <x:v>7</x:v>
      </x:c>
      <x:c r="C1012" t="s">
        <x:v>32</x:v>
      </x:c>
      <x:c r="D1012" s="14">
        <x:v>44588</x:v>
      </x:c>
      <x:c r="E1012" s="16">
        <x:v>2317</x:v>
      </x:c>
      <x:c r="F1012" s="18">
        <x:v>224</x:v>
      </x:c>
    </x:row>
    <x:row r="1013">
      <x:c r="A1013" t="s">
        <x:v>24</x:v>
      </x:c>
      <x:c r="B1013" t="s">
        <x:v>7</x:v>
      </x:c>
      <x:c r="C1013" t="s">
        <x:v>22</x:v>
      </x:c>
      <x:c r="D1013" s="14">
        <x:v>44608</x:v>
      </x:c>
      <x:c r="E1013" s="16">
        <x:v>10150</x:v>
      </x:c>
      <x:c r="F1013" s="18">
        <x:v>68</x:v>
      </x:c>
    </x:row>
    <x:row r="1014">
      <x:c r="A1014" t="s">
        <x:v>54</x:v>
      </x:c>
      <x:c r="B1014" t="s">
        <x:v>26</x:v>
      </x:c>
      <x:c r="C1014" t="s">
        <x:v>51</x:v>
      </x:c>
      <x:c r="D1014" s="14">
        <x:v>44564</x:v>
      </x:c>
      <x:c r="E1014" s="16">
        <x:v>3437</x:v>
      </x:c>
      <x:c r="F1014" s="18">
        <x:v>46</x:v>
      </x:c>
    </x:row>
    <x:row r="1015">
      <x:c r="A1015" t="s">
        <x:v>31</x:v>
      </x:c>
      <x:c r="B1015" t="s">
        <x:v>26</x:v>
      </x:c>
      <x:c r="C1015" t="s">
        <x:v>44</x:v>
      </x:c>
      <x:c r="D1015" s="14">
        <x:v>44797</x:v>
      </x:c>
      <x:c r="E1015" s="16">
        <x:v>4592</x:v>
      </x:c>
      <x:c r="F1015" s="18">
        <x:v>2</x:v>
      </x:c>
    </x:row>
    <x:row r="1016">
      <x:c r="A1016" t="s">
        <x:v>17</x:v>
      </x:c>
      <x:c r="B1016" t="s">
        <x:v>26</x:v>
      </x:c>
      <x:c r="C1016" t="s">
        <x:v>39</x:v>
      </x:c>
      <x:c r="D1016" s="14">
        <x:v>44599</x:v>
      </x:c>
      <x:c r="E1016" s="16">
        <x:v>5691</x:v>
      </x:c>
      <x:c r="F1016" s="18">
        <x:v>417</x:v>
      </x:c>
    </x:row>
    <x:row r="1017">
      <x:c r="A1017" t="s">
        <x:v>28</x:v>
      </x:c>
      <x:c r="B1017" t="s">
        <x:v>15</x:v>
      </x:c>
      <x:c r="C1017" t="s">
        <x:v>16</x:v>
      </x:c>
      <x:c r="D1017" s="14">
        <x:v>44603</x:v>
      </x:c>
      <x:c r="E1017" s="16">
        <x:v>4158</x:v>
      </x:c>
      <x:c r="F1017" s="18">
        <x:v>109</x:v>
      </x:c>
    </x:row>
    <x:row r="1018">
      <x:c r="A1018" t="s">
        <x:v>41</x:v>
      </x:c>
      <x:c r="B1018" t="s">
        <x:v>29</x:v>
      </x:c>
      <x:c r="C1018" t="s">
        <x:v>35</x:v>
      </x:c>
      <x:c r="D1018" s="14">
        <x:v>44649</x:v>
      </x:c>
      <x:c r="E1018" s="16">
        <x:v>5684</x:v>
      </x:c>
      <x:c r="F1018" s="18">
        <x:v>81</x:v>
      </x:c>
    </x:row>
    <x:row r="1019">
      <x:c r="A1019" t="s">
        <x:v>33</x:v>
      </x:c>
      <x:c r="B1019" t="s">
        <x:v>26</x:v>
      </x:c>
      <x:c r="C1019" t="s">
        <x:v>13</x:v>
      </x:c>
      <x:c r="D1019" s="14">
        <x:v>44727</x:v>
      </x:c>
      <x:c r="E1019" s="16">
        <x:v>693</x:v>
      </x:c>
      <x:c r="F1019" s="18">
        <x:v>350</x:v>
      </x:c>
    </x:row>
    <x:row r="1020">
      <x:c r="A1020" t="s">
        <x:v>43</x:v>
      </x:c>
      <x:c r="B1020" t="s">
        <x:v>7</x:v>
      </x:c>
      <x:c r="C1020" t="s">
        <x:v>16</x:v>
      </x:c>
      <x:c r="D1020" s="14">
        <x:v>44677</x:v>
      </x:c>
      <x:c r="E1020" s="16">
        <x:v>546</x:v>
      </x:c>
      <x:c r="F1020" s="18">
        <x:v>142</x:v>
      </x:c>
    </x:row>
    <x:row r="1021">
      <x:c r="A1021" t="s">
        <x:v>23</x:v>
      </x:c>
      <x:c r="B1021" t="s">
        <x:v>15</x:v>
      </x:c>
      <x:c r="C1021" t="s">
        <x:v>35</x:v>
      </x:c>
      <x:c r="D1021" s="14">
        <x:v>44757</x:v>
      </x:c>
      <x:c r="E1021" s="16">
        <x:v>4263</x:v>
      </x:c>
      <x:c r="F1021" s="18">
        <x:v>264</x:v>
      </x:c>
    </x:row>
    <x:row r="1022">
      <x:c r="A1022" t="s">
        <x:v>34</x:v>
      </x:c>
      <x:c r="B1022" t="s">
        <x:v>10</x:v>
      </x:c>
      <x:c r="C1022" t="s">
        <x:v>35</x:v>
      </x:c>
      <x:c r="D1022" s="14">
        <x:v>44735</x:v>
      </x:c>
      <x:c r="E1022" s="16">
        <x:v>1036</x:v>
      </x:c>
      <x:c r="F1022" s="18">
        <x:v>20</x:v>
      </x:c>
    </x:row>
    <x:row r="1023">
      <x:c r="A1023" t="s">
        <x:v>43</x:v>
      </x:c>
      <x:c r="B1023" t="s">
        <x:v>15</x:v>
      </x:c>
      <x:c r="C1023" t="s">
        <x:v>56</x:v>
      </x:c>
      <x:c r="D1023" s="14">
        <x:v>44572</x:v>
      </x:c>
      <x:c r="E1023" s="16">
        <x:v>13846</x:v>
      </x:c>
      <x:c r="F1023" s="18">
        <x:v>421</x:v>
      </x:c>
    </x:row>
    <x:row r="1024">
      <x:c r="A1024" t="s">
        <x:v>34</x:v>
      </x:c>
      <x:c r="B1024" t="s">
        <x:v>7</x:v>
      </x:c>
      <x:c r="C1024" t="s">
        <x:v>22</x:v>
      </x:c>
      <x:c r="D1024" s="14">
        <x:v>44601</x:v>
      </x:c>
      <x:c r="E1024" s="16">
        <x:v>2499</x:v>
      </x:c>
      <x:c r="F1024" s="18">
        <x:v>271</x:v>
      </x:c>
    </x:row>
    <x:row r="1025">
      <x:c r="A1025" t="s">
        <x:v>9</x:v>
      </x:c>
      <x:c r="B1025" t="s">
        <x:v>7</x:v>
      </x:c>
      <x:c r="C1025" t="s">
        <x:v>47</x:v>
      </x:c>
      <x:c r="D1025" s="14">
        <x:v>44718</x:v>
      </x:c>
      <x:c r="E1025" s="16">
        <x:v>10689</x:v>
      </x:c>
      <x:c r="F1025" s="18">
        <x:v>204</x:v>
      </x:c>
    </x:row>
    <x:row r="1026">
      <x:c r="A1026" t="s">
        <x:v>54</x:v>
      </x:c>
      <x:c r="B1026" t="s">
        <x:v>7</x:v>
      </x:c>
      <x:c r="C1026" t="s">
        <x:v>57</x:v>
      </x:c>
      <x:c r="D1026" s="14">
        <x:v>44783</x:v>
      </x:c>
      <x:c r="E1026" s="16">
        <x:v>5768</x:v>
      </x:c>
      <x:c r="F1026" s="18">
        <x:v>235</x:v>
      </x:c>
    </x:row>
    <x:row r="1027">
      <x:c r="A1027" t="s">
        <x:v>46</x:v>
      </x:c>
      <x:c r="B1027" t="s">
        <x:v>15</x:v>
      </x:c>
      <x:c r="C1027" t="s">
        <x:v>16</x:v>
      </x:c>
      <x:c r="D1027" s="14">
        <x:v>44565</x:v>
      </x:c>
      <x:c r="E1027" s="16">
        <x:v>2226</x:v>
      </x:c>
      <x:c r="F1027" s="18">
        <x:v>46</x:v>
      </x:c>
    </x:row>
    <x:row r="1028">
      <x:c r="A1028" t="s">
        <x:v>48</x:v>
      </x:c>
      <x:c r="B1028" t="s">
        <x:v>29</x:v>
      </x:c>
      <x:c r="C1028" t="s">
        <x:v>58</x:v>
      </x:c>
      <x:c r="D1028" s="14">
        <x:v>44659</x:v>
      </x:c>
      <x:c r="E1028" s="16">
        <x:v>10262</x:v>
      </x:c>
      <x:c r="F1028" s="18">
        <x:v>15</x:v>
      </x:c>
    </x:row>
    <x:row r="1029">
      <x:c r="A1029" t="s">
        <x:v>25</x:v>
      </x:c>
      <x:c r="B1029" t="s">
        <x:v>7</x:v>
      </x:c>
      <x:c r="C1029" t="s">
        <x:v>37</x:v>
      </x:c>
      <x:c r="D1029" s="14">
        <x:v>44622</x:v>
      </x:c>
      <x:c r="E1029" s="16">
        <x:v>3864</x:v>
      </x:c>
      <x:c r="F1029" s="18">
        <x:v>430</x:v>
      </x:c>
    </x:row>
    <x:row r="1030">
      <x:c r="A1030" t="s">
        <x:v>9</x:v>
      </x:c>
      <x:c r="B1030" t="s">
        <x:v>29</x:v>
      </x:c>
      <x:c r="C1030" t="s">
        <x:v>32</x:v>
      </x:c>
      <x:c r="D1030" s="14">
        <x:v>44727</x:v>
      </x:c>
      <x:c r="E1030" s="16">
        <x:v>4900</x:v>
      </x:c>
      <x:c r="F1030" s="18">
        <x:v>709</x:v>
      </x:c>
    </x:row>
    <x:row r="1031">
      <x:c r="A1031" t="s">
        <x:v>6</x:v>
      </x:c>
      <x:c r="B1031" t="s">
        <x:v>15</x:v>
      </x:c>
      <x:c r="C1031" t="s">
        <x:v>20</x:v>
      </x:c>
      <x:c r="D1031" s="14">
        <x:v>44606</x:v>
      </x:c>
      <x:c r="E1031" s="16">
        <x:v>5250</x:v>
      </x:c>
      <x:c r="F1031" s="18">
        <x:v>47</x:v>
      </x:c>
    </x:row>
    <x:row r="1032">
      <x:c r="A1032" t="s">
        <x:v>40</x:v>
      </x:c>
      <x:c r="B1032" t="s">
        <x:v>7</x:v>
      </x:c>
      <x:c r="C1032" t="s">
        <x:v>20</x:v>
      </x:c>
      <x:c r="D1032" s="14">
        <x:v>44747</x:v>
      </x:c>
      <x:c r="E1032" s="16">
        <x:v>3507</x:v>
      </x:c>
      <x:c r="F1032" s="18">
        <x:v>380</x:v>
      </x:c>
    </x:row>
    <x:row r="1033">
      <x:c r="A1033" t="s">
        <x:v>25</x:v>
      </x:c>
      <x:c r="B1033" t="s">
        <x:v>10</x:v>
      </x:c>
      <x:c r="C1033" t="s">
        <x:v>8</x:v>
      </x:c>
      <x:c r="D1033" s="14">
        <x:v>44573</x:v>
      </x:c>
      <x:c r="E1033" s="16">
        <x:v>7413</x:v>
      </x:c>
      <x:c r="F1033" s="18">
        <x:v>465</x:v>
      </x:c>
    </x:row>
    <x:row r="1034">
      <x:c r="A1034" t="s">
        <x:v>38</x:v>
      </x:c>
      <x:c r="B1034" t="s">
        <x:v>10</x:v>
      </x:c>
      <x:c r="C1034" t="s">
        <x:v>8</x:v>
      </x:c>
      <x:c r="D1034" s="14">
        <x:v>44623</x:v>
      </x:c>
      <x:c r="E1034" s="16">
        <x:v>8155</x:v>
      </x:c>
      <x:c r="F1034" s="18">
        <x:v>96</x:v>
      </x:c>
    </x:row>
    <x:row r="1035">
      <x:c r="A1035" t="s">
        <x:v>6</x:v>
      </x:c>
      <x:c r="B1035" t="s">
        <x:v>21</x:v>
      </x:c>
      <x:c r="C1035" t="s">
        <x:v>37</x:v>
      </x:c>
      <x:c r="D1035" s="14">
        <x:v>44699</x:v>
      </x:c>
      <x:c r="E1035" s="16">
        <x:v>2478</x:v>
      </x:c>
      <x:c r="F1035" s="18">
        <x:v>188</x:v>
      </x:c>
    </x:row>
    <x:row r="1036">
      <x:c r="A1036" t="s">
        <x:v>19</x:v>
      </x:c>
      <x:c r="B1036" t="s">
        <x:v>10</x:v>
      </x:c>
      <x:c r="C1036" t="s">
        <x:v>57</x:v>
      </x:c>
      <x:c r="D1036" s="14">
        <x:v>44770</x:v>
      </x:c>
      <x:c r="E1036" s="16">
        <x:v>2471</x:v>
      </x:c>
      <x:c r="F1036" s="18">
        <x:v>202</x:v>
      </x:c>
    </x:row>
    <x:row r="1037">
      <x:c r="A1037" t="s">
        <x:v>38</x:v>
      </x:c>
      <x:c r="B1037" t="s">
        <x:v>7</x:v>
      </x:c>
      <x:c r="C1037" t="s">
        <x:v>45</x:v>
      </x:c>
      <x:c r="D1037" s="14">
        <x:v>44599</x:v>
      </x:c>
      <x:c r="E1037" s="16">
        <x:v>1666</x:v>
      </x:c>
      <x:c r="F1037" s="18">
        <x:v>106</x:v>
      </x:c>
    </x:row>
    <x:row r="1038">
      <x:c r="A1038" t="s">
        <x:v>48</x:v>
      </x:c>
      <x:c r="B1038" t="s">
        <x:v>10</x:v>
      </x:c>
      <x:c r="C1038" t="s">
        <x:v>27</x:v>
      </x:c>
      <x:c r="D1038" s="14">
        <x:v>44711</x:v>
      </x:c>
      <x:c r="E1038" s="16">
        <x:v>301</x:v>
      </x:c>
      <x:c r="F1038" s="18">
        <x:v>421</x:v>
      </x:c>
    </x:row>
    <x:row r="1039">
      <x:c r="A1039" t="s">
        <x:v>28</x:v>
      </x:c>
      <x:c r="B1039" t="s">
        <x:v>15</x:v>
      </x:c>
      <x:c r="C1039" t="s">
        <x:v>51</x:v>
      </x:c>
      <x:c r="D1039" s="14">
        <x:v>44676</x:v>
      </x:c>
      <x:c r="E1039" s="16">
        <x:v>8400</x:v>
      </x:c>
      <x:c r="F1039" s="18">
        <x:v>27</x:v>
      </x:c>
    </x:row>
    <x:row r="1040">
      <x:c r="A1040" t="s">
        <x:v>34</x:v>
      </x:c>
      <x:c r="B1040" t="s">
        <x:v>29</x:v>
      </x:c>
      <x:c r="C1040" t="s">
        <x:v>11</x:v>
      </x:c>
      <x:c r="D1040" s="14">
        <x:v>44608</x:v>
      </x:c>
      <x:c r="E1040" s="16">
        <x:v>6139</x:v>
      </x:c>
      <x:c r="F1040" s="18">
        <x:v>45</x:v>
      </x:c>
    </x:row>
    <x:row r="1041">
      <x:c r="A1041" t="s">
        <x:v>49</x:v>
      </x:c>
      <x:c r="B1041" t="s">
        <x:v>15</x:v>
      </x:c>
      <x:c r="C1041" t="s">
        <x:v>32</x:v>
      </x:c>
      <x:c r="D1041" s="14">
        <x:v>44685</x:v>
      </x:c>
      <x:c r="E1041" s="16">
        <x:v>1288</x:v>
      </x:c>
      <x:c r="F1041" s="18">
        <x:v>60</x:v>
      </x:c>
    </x:row>
    <x:row r="1042">
      <x:c r="A1042" t="s">
        <x:v>9</x:v>
      </x:c>
      <x:c r="B1042" t="s">
        <x:v>29</x:v>
      </x:c>
      <x:c r="C1042" t="s">
        <x:v>58</x:v>
      </x:c>
      <x:c r="D1042" s="14">
        <x:v>44714</x:v>
      </x:c>
      <x:c r="E1042" s="16">
        <x:v>7077</x:v>
      </x:c>
      <x:c r="F1042" s="18">
        <x:v>77</x:v>
      </x:c>
    </x:row>
    <x:row r="1043">
      <x:c r="A1043" t="s">
        <x:v>43</x:v>
      </x:c>
      <x:c r="B1043" t="s">
        <x:v>26</x:v>
      </x:c>
      <x:c r="C1043" t="s">
        <x:v>57</x:v>
      </x:c>
      <x:c r="D1043" s="14">
        <x:v>44753</x:v>
      </x:c>
      <x:c r="E1043" s="16">
        <x:v>2317</x:v>
      </x:c>
      <x:c r="F1043" s="18">
        <x:v>464</x:v>
      </x:c>
    </x:row>
    <x:row r="1044">
      <x:c r="A1044" t="s">
        <x:v>34</x:v>
      </x:c>
      <x:c r="B1044" t="s">
        <x:v>21</x:v>
      </x:c>
      <x:c r="C1044" t="s">
        <x:v>39</x:v>
      </x:c>
      <x:c r="D1044" s="14">
        <x:v>44719</x:v>
      </x:c>
      <x:c r="E1044" s="16">
        <x:v>63</x:v>
      </x:c>
      <x:c r="F1044" s="18">
        <x:v>60</x:v>
      </x:c>
    </x:row>
    <x:row r="1045">
      <x:c r="A1045" t="s">
        <x:v>14</x:v>
      </x:c>
      <x:c r="B1045" t="s">
        <x:v>7</x:v>
      </x:c>
      <x:c r="C1045" t="s">
        <x:v>47</x:v>
      </x:c>
      <x:c r="D1045" s="14">
        <x:v>44748</x:v>
      </x:c>
      <x:c r="E1045" s="16">
        <x:v>9744</x:v>
      </x:c>
      <x:c r="F1045" s="18">
        <x:v>157</x:v>
      </x:c>
    </x:row>
    <x:row r="1046">
      <x:c r="A1046" t="s">
        <x:v>40</x:v>
      </x:c>
      <x:c r="B1046" t="s">
        <x:v>10</x:v>
      </x:c>
      <x:c r="C1046" t="s">
        <x:v>51</x:v>
      </x:c>
      <x:c r="D1046" s="14">
        <x:v>44727</x:v>
      </x:c>
      <x:c r="E1046" s="16">
        <x:v>9954</x:v>
      </x:c>
      <x:c r="F1046" s="18">
        <x:v>154</x:v>
      </x:c>
    </x:row>
    <x:row r="1047">
      <x:c r="A1047" t="s">
        <x:v>54</x:v>
      </x:c>
      <x:c r="B1047" t="s">
        <x:v>10</x:v>
      </x:c>
      <x:c r="C1047" t="s">
        <x:v>8</x:v>
      </x:c>
      <x:c r="D1047" s="14">
        <x:v>44665</x:v>
      </x:c>
      <x:c r="E1047" s="16">
        <x:v>1260</x:v>
      </x:c>
      <x:c r="F1047" s="18">
        <x:v>239</x:v>
      </x:c>
    </x:row>
    <x:row r="1048">
      <x:c r="A1048" t="s">
        <x:v>50</x:v>
      </x:c>
      <x:c r="B1048" t="s">
        <x:v>10</x:v>
      </x:c>
      <x:c r="C1048" t="s">
        <x:v>32</x:v>
      </x:c>
      <x:c r="D1048" s="14">
        <x:v>44781</x:v>
      </x:c>
      <x:c r="E1048" s="16">
        <x:v>469</x:v>
      </x:c>
      <x:c r="F1048" s="18">
        <x:v>163</x:v>
      </x:c>
    </x:row>
    <x:row r="1049">
      <x:c r="A1049" t="s">
        <x:v>33</x:v>
      </x:c>
      <x:c r="B1049" t="s">
        <x:v>7</x:v>
      </x:c>
      <x:c r="C1049" t="s">
        <x:v>32</x:v>
      </x:c>
      <x:c r="D1049" s="14">
        <x:v>44649</x:v>
      </x:c>
      <x:c r="E1049" s="16">
        <x:v>973</x:v>
      </x:c>
      <x:c r="F1049" s="18">
        <x:v>28</x:v>
      </x:c>
    </x:row>
    <x:row r="1050">
      <x:c r="A1050" t="s">
        <x:v>36</x:v>
      </x:c>
      <x:c r="B1050" t="s">
        <x:v>15</x:v>
      </x:c>
      <x:c r="C1050" t="s">
        <x:v>35</x:v>
      </x:c>
      <x:c r="D1050" s="14">
        <x:v>44746</x:v>
      </x:c>
      <x:c r="E1050" s="16">
        <x:v>3647</x:v>
      </x:c>
      <x:c r="F1050" s="18">
        <x:v>76</x:v>
      </x:c>
    </x:row>
    <x:row r="1051">
      <x:c r="A1051" t="s">
        <x:v>55</x:v>
      </x:c>
      <x:c r="B1051" t="s">
        <x:v>10</x:v>
      </x:c>
      <x:c r="C1051" t="s">
        <x:v>18</x:v>
      </x:c>
      <x:c r="D1051" s="14">
        <x:v>44608</x:v>
      </x:c>
      <x:c r="E1051" s="16">
        <x:v>455</x:v>
      </x:c>
      <x:c r="F1051" s="18">
        <x:v>96</x:v>
      </x:c>
    </x:row>
    <x:row r="1052">
      <x:c r="A1052" t="s">
        <x:v>24</x:v>
      </x:c>
      <x:c r="B1052" t="s">
        <x:v>29</x:v>
      </x:c>
      <x:c r="C1052" t="s">
        <x:v>39</x:v>
      </x:c>
      <x:c r="D1052" s="14">
        <x:v>44683</x:v>
      </x:c>
      <x:c r="E1052" s="16">
        <x:v>2520</x:v>
      </x:c>
      <x:c r="F1052" s="18">
        <x:v>156</x:v>
      </x:c>
    </x:row>
    <x:row r="1053">
      <x:c r="A1053" t="s">
        <x:v>9</x:v>
      </x:c>
      <x:c r="B1053" t="s">
        <x:v>10</x:v>
      </x:c>
      <x:c r="C1053" t="s">
        <x:v>30</x:v>
      </x:c>
      <x:c r="D1053" s="14">
        <x:v>44763</x:v>
      </x:c>
      <x:c r="E1053" s="16">
        <x:v>10500</x:v>
      </x:c>
      <x:c r="F1053" s="18">
        <x:v>106</x:v>
      </x:c>
    </x:row>
    <x:row r="1054">
      <x:c r="A1054" t="s">
        <x:v>19</x:v>
      </x:c>
      <x:c r="B1054" t="s">
        <x:v>15</x:v>
      </x:c>
      <x:c r="C1054" t="s">
        <x:v>18</x:v>
      </x:c>
      <x:c r="D1054" s="14">
        <x:v>44791</x:v>
      </x:c>
      <x:c r="E1054" s="16">
        <x:v>7952</x:v>
      </x:c>
      <x:c r="F1054" s="18">
        <x:v>235</x:v>
      </x:c>
    </x:row>
    <x:row r="1055">
      <x:c r="A1055" t="s">
        <x:v>41</x:v>
      </x:c>
      <x:c r="B1055" t="s">
        <x:v>26</x:v>
      </x:c>
      <x:c r="C1055" t="s">
        <x:v>11</x:v>
      </x:c>
      <x:c r="D1055" s="14">
        <x:v>44734</x:v>
      </x:c>
      <x:c r="E1055" s="16">
        <x:v>483</x:v>
      </x:c>
      <x:c r="F1055" s="18">
        <x:v>259</x:v>
      </x:c>
    </x:row>
    <x:row r="1056">
      <x:c r="A1056" t="s">
        <x:v>50</x:v>
      </x:c>
      <x:c r="B1056" t="s">
        <x:v>7</x:v>
      </x:c>
      <x:c r="C1056" t="s">
        <x:v>13</x:v>
      </x:c>
      <x:c r="D1056" s="14">
        <x:v>44761</x:v>
      </x:c>
      <x:c r="E1056" s="16">
        <x:v>4872</x:v>
      </x:c>
      <x:c r="F1056" s="18">
        <x:v>126</x:v>
      </x:c>
    </x:row>
    <x:row r="1057">
      <x:c r="A1057" t="s">
        <x:v>53</x:v>
      </x:c>
      <x:c r="B1057" t="s">
        <x:v>7</x:v>
      </x:c>
      <x:c r="C1057" t="s">
        <x:v>13</x:v>
      </x:c>
      <x:c r="D1057" s="14">
        <x:v>44785</x:v>
      </x:c>
      <x:c r="E1057" s="16">
        <x:v>7756</x:v>
      </x:c>
      <x:c r="F1057" s="18">
        <x:v>85</x:v>
      </x:c>
    </x:row>
    <x:row r="1058">
      <x:c r="A1058" t="s">
        <x:v>53</x:v>
      </x:c>
      <x:c r="B1058" t="s">
        <x:v>26</x:v>
      </x:c>
      <x:c r="C1058" t="s">
        <x:v>52</x:v>
      </x:c>
      <x:c r="D1058" s="14">
        <x:v>44719</x:v>
      </x:c>
      <x:c r="E1058" s="16">
        <x:v>5446</x:v>
      </x:c>
      <x:c r="F1058" s="18">
        <x:v>132</x:v>
      </x:c>
    </x:row>
    <x:row r="1059">
      <x:c r="A1059" t="s">
        <x:v>33</x:v>
      </x:c>
      <x:c r="B1059" t="s">
        <x:v>29</x:v>
      </x:c>
      <x:c r="C1059" t="s">
        <x:v>13</x:v>
      </x:c>
      <x:c r="D1059" s="14">
        <x:v>44628</x:v>
      </x:c>
      <x:c r="E1059" s="16">
        <x:v>6594</x:v>
      </x:c>
      <x:c r="F1059" s="18">
        <x:v>91</x:v>
      </x:c>
    </x:row>
    <x:row r="1060">
      <x:c r="A1060" t="s">
        <x:v>55</x:v>
      </x:c>
      <x:c r="B1060" t="s">
        <x:v>15</x:v>
      </x:c>
      <x:c r="C1060" t="s">
        <x:v>52</x:v>
      </x:c>
      <x:c r="D1060" s="14">
        <x:v>44659</x:v>
      </x:c>
      <x:c r="E1060" s="16">
        <x:v>1470</x:v>
      </x:c>
      <x:c r="F1060" s="18">
        <x:v>167</x:v>
      </x:c>
    </x:row>
    <x:row r="1061">
      <x:c r="A1061" t="s">
        <x:v>38</x:v>
      </x:c>
      <x:c r="B1061" t="s">
        <x:v>29</x:v>
      </x:c>
      <x:c r="C1061" t="s">
        <x:v>30</x:v>
      </x:c>
      <x:c r="D1061" s="14">
        <x:v>44687</x:v>
      </x:c>
      <x:c r="E1061" s="16">
        <x:v>721</x:v>
      </x:c>
      <x:c r="F1061" s="18">
        <x:v>203</x:v>
      </x:c>
    </x:row>
    <x:row r="1062">
      <x:c r="A1062" t="s">
        <x:v>36</x:v>
      </x:c>
      <x:c r="B1062" t="s">
        <x:v>10</x:v>
      </x:c>
      <x:c r="C1062" t="s">
        <x:v>32</x:v>
      </x:c>
      <x:c r="D1062" s="14">
        <x:v>44712</x:v>
      </x:c>
      <x:c r="E1062" s="16">
        <x:v>4494</x:v>
      </x:c>
      <x:c r="F1062" s="18">
        <x:v>11</x:v>
      </x:c>
    </x:row>
    <x:row r="1063">
      <x:c r="A1063" t="s">
        <x:v>9</x:v>
      </x:c>
      <x:c r="B1063" t="s">
        <x:v>15</x:v>
      </x:c>
      <x:c r="C1063" t="s">
        <x:v>8</x:v>
      </x:c>
      <x:c r="D1063" s="14">
        <x:v>44574</x:v>
      </x:c>
      <x:c r="E1063" s="16">
        <x:v>2674</x:v>
      </x:c>
      <x:c r="F1063" s="18">
        <x:v>295</x:v>
      </x:c>
    </x:row>
    <x:row r="1064">
      <x:c r="A1064" t="s">
        <x:v>43</x:v>
      </x:c>
      <x:c r="B1064" t="s">
        <x:v>26</x:v>
      </x:c>
      <x:c r="C1064" t="s">
        <x:v>58</x:v>
      </x:c>
      <x:c r="D1064" s="14">
        <x:v>44635</x:v>
      </x:c>
      <x:c r="E1064" s="16">
        <x:v>658</x:v>
      </x:c>
      <x:c r="F1064" s="18">
        <x:v>77</x:v>
      </x:c>
    </x:row>
    <x:row r="1065">
      <x:c r="A1065" t="s">
        <x:v>48</x:v>
      </x:c>
      <x:c r="B1065" t="s">
        <x:v>29</x:v>
      </x:c>
      <x:c r="C1065" t="s">
        <x:v>13</x:v>
      </x:c>
      <x:c r="D1065" s="14">
        <x:v>44608</x:v>
      </x:c>
      <x:c r="E1065" s="16">
        <x:v>1127</x:v>
      </x:c>
      <x:c r="F1065" s="18">
        <x:v>319</x:v>
      </x:c>
    </x:row>
    <x:row r="1066">
      <x:c r="A1066" t="s">
        <x:v>12</x:v>
      </x:c>
      <x:c r="B1066" t="s">
        <x:v>26</x:v>
      </x:c>
      <x:c r="C1066" t="s">
        <x:v>58</x:v>
      </x:c>
      <x:c r="D1066" s="14">
        <x:v>44575</x:v>
      </x:c>
      <x:c r="E1066" s="16">
        <x:v>7364</x:v>
      </x:c>
      <x:c r="F1066" s="18">
        <x:v>196</x:v>
      </x:c>
    </x:row>
    <x:row r="1067">
      <x:c r="A1067" t="s">
        <x:v>24</x:v>
      </x:c>
      <x:c r="B1067" t="s">
        <x:v>15</x:v>
      </x:c>
      <x:c r="C1067" t="s">
        <x:v>44</x:v>
      </x:c>
      <x:c r="D1067" s="14">
        <x:v>44641</x:v>
      </x:c>
      <x:c r="E1067" s="16">
        <x:v>6818</x:v>
      </x:c>
      <x:c r="F1067" s="18">
        <x:v>102</x:v>
      </x:c>
    </x:row>
    <x:row r="1068">
      <x:c r="A1068" t="s">
        <x:v>36</x:v>
      </x:c>
      <x:c r="B1068" t="s">
        <x:v>29</x:v>
      </x:c>
      <x:c r="C1068" t="s">
        <x:v>32</x:v>
      </x:c>
      <x:c r="D1068" s="14">
        <x:v>44698</x:v>
      </x:c>
      <x:c r="E1068" s="16">
        <x:v>6776</x:v>
      </x:c>
      <x:c r="F1068" s="18">
        <x:v>312</x:v>
      </x:c>
    </x:row>
    <x:row r="1069">
      <x:c r="A1069" t="s">
        <x:v>50</x:v>
      </x:c>
      <x:c r="B1069" t="s">
        <x:v>21</x:v>
      </x:c>
      <x:c r="C1069" t="s">
        <x:v>11</x:v>
      </x:c>
      <x:c r="D1069" s="14">
        <x:v>44781</x:v>
      </x:c>
      <x:c r="E1069" s="16">
        <x:v>15099</x:v>
      </x:c>
      <x:c r="F1069" s="18">
        <x:v>55</x:v>
      </x:c>
    </x:row>
    <x:row r="1070">
      <x:c r="A1070" t="s">
        <x:v>53</x:v>
      </x:c>
      <x:c r="B1070" t="s">
        <x:v>29</x:v>
      </x:c>
      <x:c r="C1070" t="s">
        <x:v>37</x:v>
      </x:c>
      <x:c r="D1070" s="14">
        <x:v>44677</x:v>
      </x:c>
      <x:c r="E1070" s="16">
        <x:v>3612</x:v>
      </x:c>
      <x:c r="F1070" s="18">
        <x:v>82</x:v>
      </x:c>
    </x:row>
    <x:row r="1071">
      <x:c r="A1071" t="s">
        <x:v>53</x:v>
      </x:c>
      <x:c r="B1071" t="s">
        <x:v>15</x:v>
      </x:c>
      <x:c r="C1071" t="s">
        <x:v>58</x:v>
      </x:c>
      <x:c r="D1071" s="14">
        <x:v>44666</x:v>
      </x:c>
      <x:c r="E1071" s="16">
        <x:v>3710</x:v>
      </x:c>
      <x:c r="F1071" s="18">
        <x:v>260</x:v>
      </x:c>
    </x:row>
    <x:row r="1072">
      <x:c r="A1072" t="s">
        <x:v>17</x:v>
      </x:c>
      <x:c r="B1072" t="s">
        <x:v>29</x:v>
      </x:c>
      <x:c r="C1072" t="s">
        <x:v>30</x:v>
      </x:c>
      <x:c r="D1072" s="14">
        <x:v>44700</x:v>
      </x:c>
      <x:c r="E1072" s="16">
        <x:v>6111</x:v>
      </x:c>
      <x:c r="F1072" s="18">
        <x:v>591</x:v>
      </x:c>
    </x:row>
    <x:row r="1073">
      <x:c r="A1073" t="s">
        <x:v>43</x:v>
      </x:c>
      <x:c r="B1073" t="s">
        <x:v>29</x:v>
      </x:c>
      <x:c r="C1073" t="s">
        <x:v>32</x:v>
      </x:c>
      <x:c r="D1073" s="14">
        <x:v>44571</x:v>
      </x:c>
      <x:c r="E1073" s="16">
        <x:v>2702</x:v>
      </x:c>
      <x:c r="F1073" s="18">
        <x:v>24</x:v>
      </x:c>
    </x:row>
    <x:row r="1074">
      <x:c r="A1074" t="s">
        <x:v>28</x:v>
      </x:c>
      <x:c r="B1074" t="s">
        <x:v>21</x:v>
      </x:c>
      <x:c r="C1074" t="s">
        <x:v>20</x:v>
      </x:c>
      <x:c r="D1074" s="14">
        <x:v>44685</x:v>
      </x:c>
      <x:c r="E1074" s="16">
        <x:v>483</x:v>
      </x:c>
      <x:c r="F1074" s="18">
        <x:v>228</x:v>
      </x:c>
    </x:row>
    <x:row r="1075">
      <x:c r="A1075" t="s">
        <x:v>36</x:v>
      </x:c>
      <x:c r="B1075" t="s">
        <x:v>29</x:v>
      </x:c>
      <x:c r="C1075" t="s">
        <x:v>44</x:v>
      </x:c>
      <x:c r="D1075" s="14">
        <x:v>44656</x:v>
      </x:c>
      <x:c r="E1075" s="16">
        <x:v>5887</x:v>
      </x:c>
      <x:c r="F1075" s="18">
        <x:v>268</x:v>
      </x:c>
    </x:row>
    <x:row r="1076">
      <x:c r="A1076" t="s">
        <x:v>48</x:v>
      </x:c>
      <x:c r="B1076" t="s">
        <x:v>10</x:v>
      </x:c>
      <x:c r="C1076" t="s">
        <x:v>20</x:v>
      </x:c>
      <x:c r="D1076" s="14">
        <x:v>44578</x:v>
      </x:c>
      <x:c r="E1076" s="16">
        <x:v>952</x:v>
      </x:c>
      <x:c r="F1076" s="18">
        <x:v>68</x:v>
      </x:c>
    </x:row>
    <x:row r="1077">
      <x:c r="A1077" t="s">
        <x:v>36</x:v>
      </x:c>
      <x:c r="B1077" t="s">
        <x:v>10</x:v>
      </x:c>
      <x:c r="C1077" t="s">
        <x:v>39</x:v>
      </x:c>
      <x:c r="D1077" s="14">
        <x:v>44642</x:v>
      </x:c>
      <x:c r="E1077" s="16">
        <x:v>10647</x:v>
      </x:c>
      <x:c r="F1077" s="18">
        <x:v>173</x:v>
      </x:c>
    </x:row>
    <x:row r="1078">
      <x:c r="A1078" t="s">
        <x:v>54</x:v>
      </x:c>
      <x:c r="B1078" t="s">
        <x:v>15</x:v>
      </x:c>
      <x:c r="C1078" t="s">
        <x:v>44</x:v>
      </x:c>
      <x:c r="D1078" s="14">
        <x:v>44747</x:v>
      </x:c>
      <x:c r="E1078" s="16">
        <x:v>6055</x:v>
      </x:c>
      <x:c r="F1078" s="18">
        <x:v>93</x:v>
      </x:c>
    </x:row>
    <x:row r="1079">
      <x:c r="A1079" t="s">
        <x:v>17</x:v>
      </x:c>
      <x:c r="B1079" t="s">
        <x:v>29</x:v>
      </x:c>
      <x:c r="C1079" t="s">
        <x:v>27</x:v>
      </x:c>
      <x:c r="D1079" s="14">
        <x:v>44678</x:v>
      </x:c>
      <x:c r="E1079" s="16">
        <x:v>8757</x:v>
      </x:c>
      <x:c r="F1079" s="18">
        <x:v>338</x:v>
      </x:c>
    </x:row>
    <x:row r="1080">
      <x:c r="A1080" t="s">
        <x:v>41</x:v>
      </x:c>
      <x:c r="B1080" t="s">
        <x:v>29</x:v>
      </x:c>
      <x:c r="C1080" t="s">
        <x:v>47</x:v>
      </x:c>
      <x:c r="D1080" s="14">
        <x:v>44785</x:v>
      </x:c>
      <x:c r="E1080" s="16">
        <x:v>6055</x:v>
      </x:c>
      <x:c r="F1080" s="18">
        <x:v>73</x:v>
      </x:c>
    </x:row>
    <x:row r="1081">
      <x:c r="A1081" t="s">
        <x:v>14</x:v>
      </x:c>
      <x:c r="B1081" t="s">
        <x:v>7</x:v>
      </x:c>
      <x:c r="C1081" t="s">
        <x:v>56</x:v>
      </x:c>
      <x:c r="D1081" s="14">
        <x:v>44631</x:v>
      </x:c>
      <x:c r="E1081" s="16">
        <x:v>721</x:v>
      </x:c>
      <x:c r="F1081" s="18">
        <x:v>251</x:v>
      </x:c>
    </x:row>
    <x:row r="1082">
      <x:c r="A1082" t="s">
        <x:v>6</x:v>
      </x:c>
      <x:c r="B1082" t="s">
        <x:v>7</x:v>
      </x:c>
      <x:c r="C1082" t="s">
        <x:v>42</x:v>
      </x:c>
      <x:c r="D1082" s="14">
        <x:v>44694</x:v>
      </x:c>
      <x:c r="E1082" s="16">
        <x:v>8589</x:v>
      </x:c>
      <x:c r="F1082" s="18">
        <x:v>229</x:v>
      </x:c>
    </x:row>
    <x:row r="1083">
      <x:c r="A1083" t="s">
        <x:v>43</x:v>
      </x:c>
      <x:c r="B1083" t="s">
        <x:v>26</x:v>
      </x:c>
      <x:c r="C1083" t="s">
        <x:v>16</x:v>
      </x:c>
      <x:c r="D1083" s="14">
        <x:v>44693</x:v>
      </x:c>
      <x:c r="E1083" s="16">
        <x:v>11781</x:v>
      </x:c>
      <x:c r="F1083" s="18">
        <x:v>91</x:v>
      </x:c>
    </x:row>
    <x:row r="1084">
      <x:c r="A1084" t="s">
        <x:v>23</x:v>
      </x:c>
      <x:c r="B1084" t="s">
        <x:v>26</x:v>
      </x:c>
      <x:c r="C1084" t="s">
        <x:v>51</x:v>
      </x:c>
      <x:c r="D1084" s="14">
        <x:v>44573</x:v>
      </x:c>
      <x:c r="E1084" s="16">
        <x:v>672</x:v>
      </x:c>
      <x:c r="F1084" s="18">
        <x:v>194</x:v>
      </x:c>
    </x:row>
    <x:row r="1085">
      <x:c r="A1085" t="s">
        <x:v>53</x:v>
      </x:c>
      <x:c r="B1085" t="s">
        <x:v>21</x:v>
      </x:c>
      <x:c r="C1085" t="s">
        <x:v>37</x:v>
      </x:c>
      <x:c r="D1085" s="14">
        <x:v>44649</x:v>
      </x:c>
      <x:c r="E1085" s="16">
        <x:v>12558</x:v>
      </x:c>
      <x:c r="F1085" s="18">
        <x:v>403</x:v>
      </x:c>
    </x:row>
    <x:row r="1086">
      <x:c r="A1086" t="s">
        <x:v>36</x:v>
      </x:c>
      <x:c r="B1086" t="s">
        <x:v>10</x:v>
      </x:c>
      <x:c r="C1086" t="s">
        <x:v>22</x:v>
      </x:c>
      <x:c r="D1086" s="14">
        <x:v>44634</x:v>
      </x:c>
      <x:c r="E1086" s="16">
        <x:v>8337</x:v>
      </x:c>
      <x:c r="F1086" s="18">
        <x:v>12</x:v>
      </x:c>
    </x:row>
    <x:row r="1087">
      <x:c r="A1087" t="s">
        <x:v>25</x:v>
      </x:c>
      <x:c r="B1087" t="s">
        <x:v>21</x:v>
      </x:c>
      <x:c r="C1087" t="s">
        <x:v>18</x:v>
      </x:c>
      <x:c r="D1087" s="14">
        <x:v>44705</x:v>
      </x:c>
      <x:c r="E1087" s="16">
        <x:v>8134</x:v>
      </x:c>
      <x:c r="F1087" s="18">
        <x:v>195</x:v>
      </x:c>
    </x:row>
    <x:row r="1088">
      <x:c r="A1088" t="s">
        <x:v>43</x:v>
      </x:c>
      <x:c r="B1088" t="s">
        <x:v>29</x:v>
      </x:c>
      <x:c r="C1088" t="s">
        <x:v>35</x:v>
      </x:c>
      <x:c r="D1088" s="14">
        <x:v>44589</x:v>
      </x:c>
      <x:c r="E1088" s="16">
        <x:v>8491</x:v>
      </x:c>
      <x:c r="F1088" s="18">
        <x:v>75</x:v>
      </x:c>
    </x:row>
    <x:row r="1089">
      <x:c r="A1089" t="s">
        <x:v>34</x:v>
      </x:c>
      <x:c r="B1089" t="s">
        <x:v>10</x:v>
      </x:c>
      <x:c r="C1089" t="s">
        <x:v>47</x:v>
      </x:c>
      <x:c r="D1089" s="14">
        <x:v>44705</x:v>
      </x:c>
      <x:c r="E1089" s="16">
        <x:v>3066</x:v>
      </x:c>
      <x:c r="F1089" s="18">
        <x:v>96</x:v>
      </x:c>
    </x:row>
    <x:row r="1090">
      <x:c r="A1090" t="s">
        <x:v>23</x:v>
      </x:c>
      <x:c r="B1090" t="s">
        <x:v>15</x:v>
      </x:c>
      <x:c r="C1090" t="s">
        <x:v>13</x:v>
      </x:c>
      <x:c r="D1090" s="14">
        <x:v>44792</x:v>
      </x:c>
      <x:c r="E1090" s="16">
        <x:v>301</x:v>
      </x:c>
      <x:c r="F1090" s="18">
        <x:v>205</x:v>
      </x:c>
    </x:row>
    <x:row r="1091">
      <x:c r="A1091" t="s">
        <x:v>31</x:v>
      </x:c>
      <x:c r="B1091" t="s">
        <x:v>15</x:v>
      </x:c>
      <x:c r="C1091" t="s">
        <x:v>39</x:v>
      </x:c>
      <x:c r="D1091" s="14">
        <x:v>44698</x:v>
      </x:c>
      <x:c r="E1091" s="16">
        <x:v>4410</x:v>
      </x:c>
      <x:c r="F1091" s="18">
        <x:v>323</x:v>
      </x:c>
    </x:row>
    <x:row r="1092">
      <x:c r="A1092" t="s">
        <x:v>6</x:v>
      </x:c>
      <x:c r="B1092" t="s">
        <x:v>26</x:v>
      </x:c>
      <x:c r="C1092" t="s">
        <x:v>44</x:v>
      </x:c>
      <x:c r="D1092" s="14">
        <x:v>44719</x:v>
      </x:c>
      <x:c r="E1092" s="16">
        <x:v>6559</x:v>
      </x:c>
      <x:c r="F1092" s="18">
        <x:v>119</x:v>
      </x:c>
    </x:row>
    <x:row r="1093">
      <x:c r="A1093" t="s">
        <x:v>55</x:v>
      </x:c>
      <x:c r="B1093" t="s">
        <x:v>29</x:v>
      </x:c>
      <x:c r="C1093" t="s">
        <x:v>35</x:v>
      </x:c>
      <x:c r="D1093" s="14">
        <x:v>44768</x:v>
      </x:c>
      <x:c r="E1093" s="16">
        <x:v>574</x:v>
      </x:c>
      <x:c r="F1093" s="18">
        <x:v>217</x:v>
      </x:c>
    </x:row>
    <x:row r="1094">
      <x:c r="A1094" t="s">
        <x:v>54</x:v>
      </x:c>
      <x:c r="B1094" t="s">
        <x:v>10</x:v>
      </x:c>
      <x:c r="C1094" t="s">
        <x:v>30</x:v>
      </x:c>
      <x:c r="D1094" s="14">
        <x:v>44770</x:v>
      </x:c>
      <x:c r="E1094" s="16">
        <x:v>2086</x:v>
      </x:c>
      <x:c r="F1094" s="18">
        <x:v>384</x:v>
      </x:c>
    </x:row>
    <x:row r="1095">
      <x:c r="A1095" t="s">
        <x:v>31</x:v>
      </x:c>
      <x:c r="B1095" t="s">
        <x:v>10</x:v>
      </x:c>
      <x:c r="C1095" t="s">
        <x:v>58</x:v>
      </x:c>
      <x:c r="D1095" s="14">
        <x:v>44704</x:v>
      </x:c>
      <x:c r="E1095" s="16">
        <x:v>5075</x:v>
      </x:c>
      <x:c r="F1095" s="18">
        <x:v>344</x:v>
      </x:c>
    </x:row>
  </x:sheetData>
  <x:pageMargins left="0.7" right="0.7" top="0.75" bottom="0.75" header="0.3" footer="0.3"/>
  <x:tableParts count="1">
    <x:tablePart xmlns:r="http://schemas.openxmlformats.org/officeDocument/2006/relationships" r:id="R466432156ba6496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4" hidden="0" customWidth="1"/>
    <x:col min="3" max="3" width="2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9" t="str">
        <x:v>Sales Person</x:v>
      </x:c>
      <x:c r="B1" s="9" t="str">
        <x:v>Country</x:v>
      </x:c>
      <x:c r="C1" s="9" t="str">
        <x:v>Product</x:v>
      </x:c>
      <x:c r="D1" s="9" t="str">
        <x:v>Date</x:v>
      </x:c>
      <x:c r="E1" s="9" t="str">
        <x:v>Revenue</x:v>
      </x:c>
      <x:c r="F1" s="9" t="str">
        <x:v>Boxes Shipped</x:v>
      </x:c>
      <x:c r="G1" s="9" t="str">
        <x:v>Revenue per Box</x:v>
      </x:c>
      <x:c r="H1" s="9" t="str">
        <x:v>Month</x:v>
      </x:c>
      <x:c r="I1" s="9" t="str">
        <x:v>Month No</x:v>
      </x:c>
      <x:c r="J1" s="9" t="str">
        <x:v>Year</x:v>
      </x:c>
      <x:c r="K1" s="9" t="str">
        <x:v>Order Size</x:v>
      </x:c>
    </x:row>
    <x:row r="2">
      <x:c r="A2" t="str">
        <x:v>Jehu Rudeforth</x:v>
      </x:c>
      <x:c r="B2" t="str">
        <x:v>UK</x:v>
      </x:c>
      <x:c r="C2" t="str">
        <x:v>Mint Chip Choco</x:v>
      </x:c>
      <x:c r="D2" s="14" t="n">
        <x:v>44565</x:v>
      </x:c>
      <x:c r="E2" s="16" t="n">
        <x:v>5320</x:v>
      </x:c>
      <x:c r="F2" s="18" t="n">
        <x:v>180</x:v>
      </x:c>
      <x:c r="G2" s="20" t="n">
        <x:f>IFERROR(E2/F2,0)</x:f>
        <x:v>29.555555555555557</x:v>
      </x:c>
      <x:c r="H2" t="str">
        <x:f>TEXT(D2,"mmm")</x:f>
        <x:v>Jan</x:v>
      </x:c>
      <x:c r="I2" s="22" t="n">
        <x:f>MONTH(D2)</x:f>
        <x:v>1</x:v>
      </x:c>
      <x:c r="J2" s="22" t="n">
        <x:f>YEAR(D2)</x:f>
        <x:v>2022</x:v>
      </x:c>
      <x:c r="K2" t="str">
        <x:f>IF(F2&gt;200,"Large Order","Standard Order")</x:f>
        <x:v>Standard Order</x:v>
      </x:c>
    </x:row>
    <x:row r="3">
      <x:c r="A3" t="str">
        <x:v>Van Tuxwell</x:v>
      </x:c>
      <x:c r="B3" t="str">
        <x:v>India</x:v>
      </x:c>
      <x:c r="C3" t="str">
        <x:v>85% Dark Bars</x:v>
      </x:c>
      <x:c r="D3" s="14" t="n">
        <x:v>44774</x:v>
      </x:c>
      <x:c r="E3" s="16" t="n">
        <x:v>7896</x:v>
      </x:c>
      <x:c r="F3" s="18" t="n">
        <x:v>94</x:v>
      </x:c>
      <x:c r="G3" s="20" t="n">
        <x:f>IFERROR(E3/F3,0)</x:f>
        <x:v>84</x:v>
      </x:c>
      <x:c r="H3" t="str">
        <x:f>TEXT(D3,"mmm")</x:f>
        <x:v>Aug</x:v>
      </x:c>
      <x:c r="I3" s="22" t="n">
        <x:f>MONTH(D3)</x:f>
        <x:v>8</x:v>
      </x:c>
      <x:c r="J3" s="22" t="n">
        <x:f>YEAR(D3)</x:f>
        <x:v>2022</x:v>
      </x:c>
      <x:c r="K3" t="str">
        <x:f>IF(F3&gt;200,"Large Order","Standard Order")</x:f>
        <x:v>Standard Order</x:v>
      </x:c>
    </x:row>
    <x:row r="4">
      <x:c r="A4" t="str">
        <x:v>Gigi Bohling</x:v>
      </x:c>
      <x:c r="B4" t="str">
        <x:v>India</x:v>
      </x:c>
      <x:c r="C4" t="str">
        <x:v>Peanut Butter Cubes</x:v>
      </x:c>
      <x:c r="D4" s="14" t="n">
        <x:v>44749</x:v>
      </x:c>
      <x:c r="E4" s="16" t="n">
        <x:v>4501</x:v>
      </x:c>
      <x:c r="F4" s="18" t="n">
        <x:v>91</x:v>
      </x:c>
      <x:c r="G4" s="20" t="n">
        <x:f>IFERROR(E4/F4,0)</x:f>
        <x:v>49.46153846153846</x:v>
      </x:c>
      <x:c r="H4" t="str">
        <x:f>TEXT(D4,"mmm")</x:f>
        <x:v>Jul</x:v>
      </x:c>
      <x:c r="I4" s="22" t="n">
        <x:f>MONTH(D4)</x:f>
        <x:v>7</x:v>
      </x:c>
      <x:c r="J4" s="22" t="n">
        <x:f>YEAR(D4)</x:f>
        <x:v>2022</x:v>
      </x:c>
      <x:c r="K4" t="str">
        <x:f>IF(F4&gt;200,"Large Order","Standard Order")</x:f>
        <x:v>Standard Order</x:v>
      </x:c>
    </x:row>
    <x:row r="5">
      <x:c r="A5" t="str">
        <x:v>Jan Morforth</x:v>
      </x:c>
      <x:c r="B5" t="str">
        <x:v>Australia</x:v>
      </x:c>
      <x:c r="C5" t="str">
        <x:v>Peanut Butter Cubes</x:v>
      </x:c>
      <x:c r="D5" s="14" t="n">
        <x:v>44678</x:v>
      </x:c>
      <x:c r="E5" s="16" t="n">
        <x:v>12726</x:v>
      </x:c>
      <x:c r="F5" s="18" t="n">
        <x:v>342</x:v>
      </x:c>
      <x:c r="G5" s="20" t="n">
        <x:f>IFERROR(E5/F5,0)</x:f>
        <x:v>37.21052631578947</x:v>
      </x:c>
      <x:c r="H5" t="str">
        <x:f>TEXT(D5,"mmm")</x:f>
        <x:v>Apr</x:v>
      </x:c>
      <x:c r="I5" s="22" t="n">
        <x:f>MONTH(D5)</x:f>
        <x:v>4</x:v>
      </x:c>
      <x:c r="J5" s="22" t="n">
        <x:f>YEAR(D5)</x:f>
        <x:v>2022</x:v>
      </x:c>
      <x:c r="K5" t="str">
        <x:f>IF(F5&gt;200,"Large Order","Standard Order")</x:f>
        <x:v>Large Order</x:v>
      </x:c>
    </x:row>
    <x:row r="6">
      <x:c r="A6" t="str">
        <x:v>Jehu Rudeforth</x:v>
      </x:c>
      <x:c r="B6" t="str">
        <x:v>UK</x:v>
      </x:c>
      <x:c r="C6" t="str">
        <x:v>Peanut Butter Cubes</x:v>
      </x:c>
      <x:c r="D6" s="14" t="n">
        <x:v>44616</x:v>
      </x:c>
      <x:c r="E6" s="16" t="n">
        <x:v>13685</x:v>
      </x:c>
      <x:c r="F6" s="18" t="n">
        <x:v>184</x:v>
      </x:c>
      <x:c r="G6" s="20" t="n">
        <x:f>IFERROR(E6/F6,0)</x:f>
        <x:v>74.375</x:v>
      </x:c>
      <x:c r="H6" t="str">
        <x:f>TEXT(D6,"mmm")</x:f>
        <x:v>Feb</x:v>
      </x:c>
      <x:c r="I6" s="22" t="n">
        <x:f>MONTH(D6)</x:f>
        <x:v>2</x:v>
      </x:c>
      <x:c r="J6" s="22" t="n">
        <x:f>YEAR(D6)</x:f>
        <x:v>2022</x:v>
      </x:c>
      <x:c r="K6" t="str">
        <x:f>IF(F6&gt;200,"Large Order","Standard Order")</x:f>
        <x:v>Standard Order</x:v>
      </x:c>
    </x:row>
    <x:row r="7">
      <x:c r="A7" t="str">
        <x:v>Van Tuxwell</x:v>
      </x:c>
      <x:c r="B7" t="str">
        <x:v>India</x:v>
      </x:c>
      <x:c r="C7" t="str">
        <x:v>Smooth Silky Salty</x:v>
      </x:c>
      <x:c r="D7" s="14" t="n">
        <x:v>44718</x:v>
      </x:c>
      <x:c r="E7" s="16" t="n">
        <x:v>5376</x:v>
      </x:c>
      <x:c r="F7" s="18" t="n">
        <x:v>38</x:v>
      </x:c>
      <x:c r="G7" s="20" t="n">
        <x:f>IFERROR(E7/F7,0)</x:f>
        <x:v>141.47368421052633</x:v>
      </x:c>
      <x:c r="H7" t="str">
        <x:f>TEXT(D7,"mmm")</x:f>
        <x:v>Jun</x:v>
      </x:c>
      <x:c r="I7" s="22" t="n">
        <x:f>MONTH(D7)</x:f>
        <x:v>6</x:v>
      </x:c>
      <x:c r="J7" s="22" t="n">
        <x:f>YEAR(D7)</x:f>
        <x:v>2022</x:v>
      </x:c>
      <x:c r="K7" t="str">
        <x:f>IF(F7&gt;200,"Large Order","Standard Order")</x:f>
        <x:v>Standard Order</x:v>
      </x:c>
    </x:row>
    <x:row r="8">
      <x:c r="A8" t="str">
        <x:v>Oby Sorrel</x:v>
      </x:c>
      <x:c r="B8" t="str">
        <x:v>UK</x:v>
      </x:c>
      <x:c r="C8" t="str">
        <x:v>99% Dark &amp; Pure</x:v>
      </x:c>
      <x:c r="D8" s="14" t="n">
        <x:v>44586</x:v>
      </x:c>
      <x:c r="E8" s="16" t="n">
        <x:v>13685</x:v>
      </x:c>
      <x:c r="F8" s="18" t="n">
        <x:v>176</x:v>
      </x:c>
      <x:c r="G8" s="20" t="n">
        <x:f>IFERROR(E8/F8,0)</x:f>
        <x:v>77.75568181818181</x:v>
      </x:c>
      <x:c r="H8" t="str">
        <x:f>TEXT(D8,"mmm")</x:f>
        <x:v>Jan</x:v>
      </x:c>
      <x:c r="I8" s="22" t="n">
        <x:f>MONTH(D8)</x:f>
        <x:v>1</x:v>
      </x:c>
      <x:c r="J8" s="22" t="n">
        <x:f>YEAR(D8)</x:f>
        <x:v>2022</x:v>
      </x:c>
      <x:c r="K8" t="str">
        <x:f>IF(F8&gt;200,"Large Order","Standard Order")</x:f>
        <x:v>Standard Order</x:v>
      </x:c>
    </x:row>
    <x:row r="9">
      <x:c r="A9" t="str">
        <x:v>Gunar Cockshoot</x:v>
      </x:c>
      <x:c r="B9" t="str">
        <x:v>Australia</x:v>
      </x:c>
      <x:c r="C9" t="str">
        <x:v>After Nines</x:v>
      </x:c>
      <x:c r="D9" s="14" t="n">
        <x:v>44644</x:v>
      </x:c>
      <x:c r="E9" s="16" t="n">
        <x:v>3080</x:v>
      </x:c>
      <x:c r="F9" s="18" t="n">
        <x:v>73</x:v>
      </x:c>
      <x:c r="G9" s="20" t="n">
        <x:f>IFERROR(E9/F9,0)</x:f>
        <x:v>42.19178082191781</x:v>
      </x:c>
      <x:c r="H9" t="str">
        <x:f>TEXT(D9,"mmm")</x:f>
        <x:v>Mar</x:v>
      </x:c>
      <x:c r="I9" s="22" t="n">
        <x:f>MONTH(D9)</x:f>
        <x:v>3</x:v>
      </x:c>
      <x:c r="J9" s="22" t="n">
        <x:f>YEAR(D9)</x:f>
        <x:v>2022</x:v>
      </x:c>
      <x:c r="K9" t="str">
        <x:f>IF(F9&gt;200,"Large Order","Standard Order")</x:f>
        <x:v>Standard Order</x:v>
      </x:c>
    </x:row>
    <x:row r="10">
      <x:c r="A10" t="str">
        <x:v>Jehu Rudeforth</x:v>
      </x:c>
      <x:c r="B10" t="str">
        <x:v>New Zealand</x:v>
      </x:c>
      <x:c r="C10" t="str">
        <x:v>50% Dark Bites</x:v>
      </x:c>
      <x:c r="D10" s="14" t="n">
        <x:v>44671</x:v>
      </x:c>
      <x:c r="E10" s="16" t="n">
        <x:v>3990</x:v>
      </x:c>
      <x:c r="F10" s="18" t="n">
        <x:v>59</x:v>
      </x:c>
      <x:c r="G10" s="20" t="n">
        <x:f>IFERROR(E10/F10,0)</x:f>
        <x:v>67.62711864406779</x:v>
      </x:c>
      <x:c r="H10" t="str">
        <x:f>TEXT(D10,"mmm")</x:f>
        <x:v>Apr</x:v>
      </x:c>
      <x:c r="I10" s="22" t="n">
        <x:f>MONTH(D10)</x:f>
        <x:v>4</x:v>
      </x:c>
      <x:c r="J10" s="22" t="n">
        <x:f>YEAR(D10)</x:f>
        <x:v>2022</x:v>
      </x:c>
      <x:c r="K10" t="str">
        <x:f>IF(F10&gt;200,"Large Order","Standard Order")</x:f>
        <x:v>Standard Order</x:v>
      </x:c>
    </x:row>
    <x:row r="11">
      <x:c r="A11" t="str">
        <x:v>Brien Boise</x:v>
      </x:c>
      <x:c r="B11" t="str">
        <x:v>Australia</x:v>
      </x:c>
      <x:c r="C11" t="str">
        <x:v>99% Dark &amp; Pure</x:v>
      </x:c>
      <x:c r="D11" s="14" t="n">
        <x:v>44746</x:v>
      </x:c>
      <x:c r="E11" s="16" t="n">
        <x:v>2835</x:v>
      </x:c>
      <x:c r="F11" s="18" t="n">
        <x:v>102</x:v>
      </x:c>
      <x:c r="G11" s="20" t="n">
        <x:f>IFERROR(E11/F11,0)</x:f>
        <x:v>27.794117647058822</x:v>
      </x:c>
      <x:c r="H11" t="str">
        <x:f>TEXT(D11,"mmm")</x:f>
        <x:v>Jul</x:v>
      </x:c>
      <x:c r="I11" s="22" t="n">
        <x:f>MONTH(D11)</x:f>
        <x:v>7</x:v>
      </x:c>
      <x:c r="J11" s="22" t="n">
        <x:f>YEAR(D11)</x:f>
        <x:v>2022</x:v>
      </x:c>
      <x:c r="K11" t="str">
        <x:f>IF(F11&gt;200,"Large Order","Standard Order")</x:f>
        <x:v>Standard Order</x:v>
      </x:c>
    </x:row>
    <x:row r="12">
      <x:c r="A12" t="str">
        <x:v>Rafaelita Blaksland</x:v>
      </x:c>
      <x:c r="B12" t="str">
        <x:v>UK</x:v>
      </x:c>
      <x:c r="C12" t="str">
        <x:v>Smooth Silky Salty</x:v>
      </x:c>
      <x:c r="D12" s="14" t="n">
        <x:v>44574</x:v>
      </x:c>
      <x:c r="E12" s="16" t="n">
        <x:v>4704</x:v>
      </x:c>
      <x:c r="F12" s="18" t="n">
        <x:v>62</x:v>
      </x:c>
      <x:c r="G12" s="20" t="n">
        <x:f>IFERROR(E12/F12,0)</x:f>
        <x:v>75.87096774193549</x:v>
      </x:c>
      <x:c r="H12" t="str">
        <x:f>TEXT(D12,"mmm")</x:f>
        <x:v>Jan</x:v>
      </x:c>
      <x:c r="I12" s="22" t="n">
        <x:f>MONTH(D12)</x:f>
        <x:v>1</x:v>
      </x:c>
      <x:c r="J12" s="22" t="n">
        <x:f>YEAR(D12)</x:f>
        <x:v>2022</x:v>
      </x:c>
      <x:c r="K12" t="str">
        <x:f>IF(F12&gt;200,"Large Order","Standard Order")</x:f>
        <x:v>Standard Order</x:v>
      </x:c>
    </x:row>
    <x:row r="13">
      <x:c r="A13" t="str">
        <x:v>Barr Faughny</x:v>
      </x:c>
      <x:c r="B13" t="str">
        <x:v>USA</x:v>
      </x:c>
      <x:c r="C13" t="str">
        <x:v>Orange Choco</x:v>
      </x:c>
      <x:c r="D13" s="14" t="n">
        <x:v>44630</x:v>
      </x:c>
      <x:c r="E13" s="16" t="n">
        <x:v>3703</x:v>
      </x:c>
      <x:c r="F13" s="18" t="n">
        <x:v>11</x:v>
      </x:c>
      <x:c r="G13" s="20" t="n">
        <x:f>IFERROR(E13/F13,0)</x:f>
        <x:v>336.6363636363636</x:v>
      </x:c>
      <x:c r="H13" t="str">
        <x:f>TEXT(D13,"mmm")</x:f>
        <x:v>Mar</x:v>
      </x:c>
      <x:c r="I13" s="22" t="n">
        <x:f>MONTH(D13)</x:f>
        <x:v>3</x:v>
      </x:c>
      <x:c r="J13" s="22" t="n">
        <x:f>YEAR(D13)</x:f>
        <x:v>2022</x:v>
      </x:c>
      <x:c r="K13" t="str">
        <x:f>IF(F13&gt;200,"Large Order","Standard Order")</x:f>
        <x:v>Standard Order</x:v>
      </x:c>
    </x:row>
    <x:row r="14">
      <x:c r="A14" t="str">
        <x:v>Mallorie Waber</x:v>
      </x:c>
      <x:c r="B14" t="str">
        <x:v>Canada</x:v>
      </x:c>
      <x:c r="C14" t="str">
        <x:v>Eclairs</x:v>
      </x:c>
      <x:c r="D14" s="14" t="n">
        <x:v>44574</x:v>
      </x:c>
      <x:c r="E14" s="16" t="n">
        <x:v>1442</x:v>
      </x:c>
      <x:c r="F14" s="18" t="n">
        <x:v>286</x:v>
      </x:c>
      <x:c r="G14" s="20" t="n">
        <x:f>IFERROR(E14/F14,0)</x:f>
        <x:v>5.041958041958042</x:v>
      </x:c>
      <x:c r="H14" t="str">
        <x:f>TEXT(D14,"mmm")</x:f>
        <x:v>Jan</x:v>
      </x:c>
      <x:c r="I14" s="22" t="n">
        <x:f>MONTH(D14)</x:f>
        <x:v>1</x:v>
      </x:c>
      <x:c r="J14" s="22" t="n">
        <x:f>YEAR(D14)</x:f>
        <x:v>2022</x:v>
      </x:c>
      <x:c r="K14" t="str">
        <x:f>IF(F14&gt;200,"Large Order","Standard Order")</x:f>
        <x:v>Large Order</x:v>
      </x:c>
    </x:row>
    <x:row r="15">
      <x:c r="A15" t="str">
        <x:v>Karlen McCaffrey</x:v>
      </x:c>
      <x:c r="B15" t="str">
        <x:v>New Zealand</x:v>
      </x:c>
      <x:c r="C15" t="str">
        <x:v>Drinking Coco</x:v>
      </x:c>
      <x:c r="D15" s="14" t="n">
        <x:v>44770</x:v>
      </x:c>
      <x:c r="E15" s="16" t="n">
        <x:v>168</x:v>
      </x:c>
      <x:c r="F15" s="18" t="n">
        <x:v>156</x:v>
      </x:c>
      <x:c r="G15" s="20" t="n">
        <x:f>IFERROR(E15/F15,0)</x:f>
        <x:v>1.0769230769230769</x:v>
      </x:c>
      <x:c r="H15" t="str">
        <x:f>TEXT(D15,"mmm")</x:f>
        <x:v>Jul</x:v>
      </x:c>
      <x:c r="I15" s="22" t="n">
        <x:f>MONTH(D15)</x:f>
        <x:v>7</x:v>
      </x:c>
      <x:c r="J15" s="22" t="n">
        <x:f>YEAR(D15)</x:f>
        <x:v>2022</x:v>
      </x:c>
      <x:c r="K15" t="str">
        <x:f>IF(F15&gt;200,"Large Order","Standard Order")</x:f>
        <x:v>Standard Order</x:v>
      </x:c>
    </x:row>
    <x:row r="16">
      <x:c r="A16" t="str">
        <x:v>Marney O'Breen</x:v>
      </x:c>
      <x:c r="B16" t="str">
        <x:v>New Zealand</x:v>
      </x:c>
      <x:c r="C16" t="str">
        <x:v>Peanut Butter Cubes</x:v>
      </x:c>
      <x:c r="D16" s="14" t="n">
        <x:v>44776</x:v>
      </x:c>
      <x:c r="E16" s="16" t="n">
        <x:v>8379</x:v>
      </x:c>
      <x:c r="F16" s="18" t="n">
        <x:v>173</x:v>
      </x:c>
      <x:c r="G16" s="20" t="n">
        <x:f>IFERROR(E16/F16,0)</x:f>
        <x:v>48.433526011560694</x:v>
      </x:c>
      <x:c r="H16" t="str">
        <x:f>TEXT(D16,"mmm")</x:f>
        <x:v>Aug</x:v>
      </x:c>
      <x:c r="I16" s="22" t="n">
        <x:f>MONTH(D16)</x:f>
        <x:v>8</x:v>
      </x:c>
      <x:c r="J16" s="22" t="n">
        <x:f>YEAR(D16)</x:f>
        <x:v>2022</x:v>
      </x:c>
      <x:c r="K16" t="str">
        <x:f>IF(F16&gt;200,"Large Order","Standard Order")</x:f>
        <x:v>Standard Order</x:v>
      </x:c>
    </x:row>
    <x:row r="17">
      <x:c r="A17" t="str">
        <x:v>Beverie Moffet</x:v>
      </x:c>
      <x:c r="B17" t="str">
        <x:v>Australia</x:v>
      </x:c>
      <x:c r="C17" t="str">
        <x:v>Organic Choco Syrup</x:v>
      </x:c>
      <x:c r="D17" s="14" t="n">
        <x:v>44587</x:v>
      </x:c>
      <x:c r="E17" s="16" t="n">
        <x:v>6790</x:v>
      </x:c>
      <x:c r="F17" s="18" t="n">
        <x:v>356</x:v>
      </x:c>
      <x:c r="G17" s="20" t="n">
        <x:f>IFERROR(E17/F17,0)</x:f>
        <x:v>19.073033707865168</x:v>
      </x:c>
      <x:c r="H17" t="str">
        <x:f>TEXT(D17,"mmm")</x:f>
        <x:v>Jan</x:v>
      </x:c>
      <x:c r="I17" s="22" t="n">
        <x:f>MONTH(D17)</x:f>
        <x:v>1</x:v>
      </x:c>
      <x:c r="J17" s="22" t="n">
        <x:f>YEAR(D17)</x:f>
        <x:v>2022</x:v>
      </x:c>
      <x:c r="K17" t="str">
        <x:f>IF(F17&gt;200,"Large Order","Standard Order")</x:f>
        <x:v>Large Order</x:v>
      </x:c>
    </x:row>
    <x:row r="18">
      <x:c r="A18" t="str">
        <x:v>Van Tuxwell</x:v>
      </x:c>
      <x:c r="B18" t="str">
        <x:v>Canada</x:v>
      </x:c>
      <x:c r="C18" t="str">
        <x:v>Organic Choco Syrup</x:v>
      </x:c>
      <x:c r="D18" s="14" t="n">
        <x:v>44606</x:v>
      </x:c>
      <x:c r="E18" s="16" t="n">
        <x:v>4067</x:v>
      </x:c>
      <x:c r="F18" s="18" t="n">
        <x:v>42</x:v>
      </x:c>
      <x:c r="G18" s="20" t="n">
        <x:f>IFERROR(E18/F18,0)</x:f>
        <x:v>96.83333333333333</x:v>
      </x:c>
      <x:c r="H18" t="str">
        <x:f>TEXT(D18,"mmm")</x:f>
        <x:v>Feb</x:v>
      </x:c>
      <x:c r="I18" s="22" t="n">
        <x:f>MONTH(D18)</x:f>
        <x:v>2</x:v>
      </x:c>
      <x:c r="J18" s="22" t="n">
        <x:f>YEAR(D18)</x:f>
        <x:v>2022</x:v>
      </x:c>
      <x:c r="K18" t="str">
        <x:f>IF(F18&gt;200,"Large Order","Standard Order")</x:f>
        <x:v>Standard Order</x:v>
      </x:c>
    </x:row>
    <x:row r="19">
      <x:c r="A19" t="str">
        <x:v>Roddy Speechley</x:v>
      </x:c>
      <x:c r="B19" t="str">
        <x:v>USA</x:v>
      </x:c>
      <x:c r="C19" t="str">
        <x:v>Smooth Silky Salty</x:v>
      </x:c>
      <x:c r="D19" s="14" t="n">
        <x:v>44656</x:v>
      </x:c>
      <x:c r="E19" s="16" t="n">
        <x:v>3017</x:v>
      </x:c>
      <x:c r="F19" s="18" t="n">
        <x:v>140</x:v>
      </x:c>
      <x:c r="G19" s="20" t="n">
        <x:f>IFERROR(E19/F19,0)</x:f>
        <x:v>21.55</x:v>
      </x:c>
      <x:c r="H19" t="str">
        <x:f>TEXT(D19,"mmm")</x:f>
        <x:v>Apr</x:v>
      </x:c>
      <x:c r="I19" s="22" t="n">
        <x:f>MONTH(D19)</x:f>
        <x:v>4</x:v>
      </x:c>
      <x:c r="J19" s="22" t="n">
        <x:f>YEAR(D19)</x:f>
        <x:v>2022</x:v>
      </x:c>
      <x:c r="K19" t="str">
        <x:f>IF(F19&gt;200,"Large Order","Standard Order")</x:f>
        <x:v>Standard Order</x:v>
      </x:c>
    </x:row>
    <x:row r="20">
      <x:c r="A20" t="str">
        <x:v>Beverie Moffet</x:v>
      </x:c>
      <x:c r="B20" t="str">
        <x:v>Canada</x:v>
      </x:c>
      <x:c r="C20" t="str">
        <x:v>Milk Bars</x:v>
      </x:c>
      <x:c r="D20" s="14" t="n">
        <x:v>44608</x:v>
      </x:c>
      <x:c r="E20" s="16" t="n">
        <x:v>8799</x:v>
      </x:c>
      <x:c r="F20" s="18" t="n">
        <x:v>250</x:v>
      </x:c>
      <x:c r="G20" s="20" t="n">
        <x:f>IFERROR(E20/F20,0)</x:f>
        <x:v>35.196</x:v>
      </x:c>
      <x:c r="H20" t="str">
        <x:f>TEXT(D20,"mmm")</x:f>
        <x:v>Feb</x:v>
      </x:c>
      <x:c r="I20" s="22" t="n">
        <x:f>MONTH(D20)</x:f>
        <x:v>2</x:v>
      </x:c>
      <x:c r="J20" s="22" t="n">
        <x:f>YEAR(D20)</x:f>
        <x:v>2022</x:v>
      </x:c>
      <x:c r="K20" t="str">
        <x:f>IF(F20&gt;200,"Large Order","Standard Order")</x:f>
        <x:v>Large Order</x:v>
      </x:c>
    </x:row>
    <x:row r="21">
      <x:c r="A21" t="str">
        <x:v>Curtice Advani</x:v>
      </x:c>
      <x:c r="B21" t="str">
        <x:v>UK</x:v>
      </x:c>
      <x:c r="C21" t="str">
        <x:v>85% Dark Bars</x:v>
      </x:c>
      <x:c r="D21" s="14" t="n">
        <x:v>44720</x:v>
      </x:c>
      <x:c r="E21" s="16" t="n">
        <x:v>1085</x:v>
      </x:c>
      <x:c r="F21" s="18" t="n">
        <x:v>172</x:v>
      </x:c>
      <x:c r="G21" s="20" t="n">
        <x:f>IFERROR(E21/F21,0)</x:f>
        <x:v>6.308139534883721</x:v>
      </x:c>
      <x:c r="H21" t="str">
        <x:f>TEXT(D21,"mmm")</x:f>
        <x:v>Jun</x:v>
      </x:c>
      <x:c r="I21" s="22" t="n">
        <x:f>MONTH(D21)</x:f>
        <x:v>6</x:v>
      </x:c>
      <x:c r="J21" s="22" t="n">
        <x:f>YEAR(D21)</x:f>
        <x:v>2022</x:v>
      </x:c>
      <x:c r="K21" t="str">
        <x:f>IF(F21&gt;200,"Large Order","Standard Order")</x:f>
        <x:v>Standard Order</x:v>
      </x:c>
    </x:row>
    <x:row r="22">
      <x:c r="A22" t="str">
        <x:v>Brien Boise</x:v>
      </x:c>
      <x:c r="B22" t="str">
        <x:v>Australia</x:v>
      </x:c>
      <x:c r="C22" t="str">
        <x:v>Eclairs</x:v>
      </x:c>
      <x:c r="D22" s="14" t="n">
        <x:v>44739</x:v>
      </x:c>
      <x:c r="E22" s="16" t="n">
        <x:v>6888</x:v>
      </x:c>
      <x:c r="F22" s="18" t="n">
        <x:v>88</x:v>
      </x:c>
      <x:c r="G22" s="20" t="n">
        <x:f>IFERROR(E22/F22,0)</x:f>
        <x:v>78.27272727272727</x:v>
      </x:c>
      <x:c r="H22" t="str">
        <x:f>TEXT(D22,"mmm")</x:f>
        <x:v>Jun</x:v>
      </x:c>
      <x:c r="I22" s="22" t="n">
        <x:f>MONTH(D22)</x:f>
        <x:v>6</x:v>
      </x:c>
      <x:c r="J22" s="22" t="n">
        <x:f>YEAR(D22)</x:f>
        <x:v>2022</x:v>
      </x:c>
      <x:c r="K22" t="str">
        <x:f>IF(F22&gt;200,"Large Order","Standard Order")</x:f>
        <x:v>Standard Order</x:v>
      </x:c>
    </x:row>
    <x:row r="23">
      <x:c r="A23" t="str">
        <x:v>Gunar Cockshoot</x:v>
      </x:c>
      <x:c r="B23" t="str">
        <x:v>USA</x:v>
      </x:c>
      <x:c r="C23" t="str">
        <x:v>Spicy Special Slims</x:v>
      </x:c>
      <x:c r="D23" s="14" t="n">
        <x:v>44609</x:v>
      </x:c>
      <x:c r="E23" s="16" t="n">
        <x:v>1267</x:v>
      </x:c>
      <x:c r="F23" s="18" t="n">
        <x:v>157</x:v>
      </x:c>
      <x:c r="G23" s="20" t="n">
        <x:f>IFERROR(E23/F23,0)</x:f>
        <x:v>8.070063694267516</x:v>
      </x:c>
      <x:c r="H23" t="str">
        <x:f>TEXT(D23,"mmm")</x:f>
        <x:v>Feb</x:v>
      </x:c>
      <x:c r="I23" s="22" t="n">
        <x:f>MONTH(D23)</x:f>
        <x:v>2</x:v>
      </x:c>
      <x:c r="J23" s="22" t="n">
        <x:f>YEAR(D23)</x:f>
        <x:v>2022</x:v>
      </x:c>
      <x:c r="K23" t="str">
        <x:f>IF(F23&gt;200,"Large Order","Standard Order")</x:f>
        <x:v>Standard Order</x:v>
      </x:c>
    </x:row>
    <x:row r="24">
      <x:c r="A24" t="str">
        <x:v>Marney O'Breen</x:v>
      </x:c>
      <x:c r="B24" t="str">
        <x:v>USA</x:v>
      </x:c>
      <x:c r="C24" t="str">
        <x:v>After Nines</x:v>
      </x:c>
      <x:c r="D24" s="14" t="n">
        <x:v>44711</x:v>
      </x:c>
      <x:c r="E24" s="16" t="n">
        <x:v>4753</x:v>
      </x:c>
      <x:c r="F24" s="18" t="n">
        <x:v>163</x:v>
      </x:c>
      <x:c r="G24" s="20" t="n">
        <x:f>IFERROR(E24/F24,0)</x:f>
        <x:v>29.15950920245399</x:v>
      </x:c>
      <x:c r="H24" t="str">
        <x:f>TEXT(D24,"mmm")</x:f>
        <x:v>May</x:v>
      </x:c>
      <x:c r="I24" s="22" t="n">
        <x:f>MONTH(D24)</x:f>
        <x:v>5</x:v>
      </x:c>
      <x:c r="J24" s="22" t="n">
        <x:f>YEAR(D24)</x:f>
        <x:v>2022</x:v>
      </x:c>
      <x:c r="K24" t="str">
        <x:f>IF(F24&gt;200,"Large Order","Standard Order")</x:f>
        <x:v>Standard Order</x:v>
      </x:c>
    </x:row>
    <x:row r="25">
      <x:c r="A25" t="str">
        <x:v>Husein Augar</x:v>
      </x:c>
      <x:c r="B25" t="str">
        <x:v>UK</x:v>
      </x:c>
      <x:c r="C25" t="str">
        <x:v>Drinking Coco</x:v>
      </x:c>
      <x:c r="D25" s="14" t="n">
        <x:v>44634</x:v>
      </x:c>
      <x:c r="E25" s="16" t="n">
        <x:v>3003</x:v>
      </x:c>
      <x:c r="F25" s="18" t="n">
        <x:v>113</x:v>
      </x:c>
      <x:c r="G25" s="20" t="n">
        <x:f>IFERROR(E25/F25,0)</x:f>
        <x:v>26.575221238938052</x:v>
      </x:c>
      <x:c r="H25" t="str">
        <x:f>TEXT(D25,"mmm")</x:f>
        <x:v>Mar</x:v>
      </x:c>
      <x:c r="I25" s="22" t="n">
        <x:f>MONTH(D25)</x:f>
        <x:v>3</x:v>
      </x:c>
      <x:c r="J25" s="22" t="n">
        <x:f>YEAR(D25)</x:f>
        <x:v>2022</x:v>
      </x:c>
      <x:c r="K25" t="str">
        <x:f>IF(F25&gt;200,"Large Order","Standard Order")</x:f>
        <x:v>Standard Order</x:v>
      </x:c>
    </x:row>
    <x:row r="26">
      <x:c r="A26" t="str">
        <x:v>Kaine Padly</x:v>
      </x:c>
      <x:c r="B26" t="str">
        <x:v>Australia</x:v>
      </x:c>
      <x:c r="C26" t="str">
        <x:v>Eclairs</x:v>
      </x:c>
      <x:c r="D26" s="14" t="n">
        <x:v>44620</x:v>
      </x:c>
      <x:c r="E26" s="16" t="n">
        <x:v>7672</x:v>
      </x:c>
      <x:c r="F26" s="18" t="n">
        <x:v>115</x:v>
      </x:c>
      <x:c r="G26" s="20" t="n">
        <x:f>IFERROR(E26/F26,0)</x:f>
        <x:v>66.71304347826087</x:v>
      </x:c>
      <x:c r="H26" t="str">
        <x:f>TEXT(D26,"mmm")</x:f>
        <x:v>Feb</x:v>
      </x:c>
      <x:c r="I26" s="22" t="n">
        <x:f>MONTH(D26)</x:f>
        <x:v>2</x:v>
      </x:c>
      <x:c r="J26" s="22" t="n">
        <x:f>YEAR(D26)</x:f>
        <x:v>2022</x:v>
      </x:c>
      <x:c r="K26" t="str">
        <x:f>IF(F26&gt;200,"Large Order","Standard Order")</x:f>
        <x:v>Standard Order</x:v>
      </x:c>
    </x:row>
    <x:row r="27">
      <x:c r="A27" t="str">
        <x:v>Karlen McCaffrey</x:v>
      </x:c>
      <x:c r="B27" t="str">
        <x:v>India</x:v>
      </x:c>
      <x:c r="C27" t="str">
        <x:v>Fruit &amp; Nut Bars</x:v>
      </x:c>
      <x:c r="D27" s="14" t="n">
        <x:v>44587</x:v>
      </x:c>
      <x:c r="E27" s="16" t="n">
        <x:v>168</x:v>
      </x:c>
      <x:c r="F27" s="18" t="n">
        <x:v>321</x:v>
      </x:c>
      <x:c r="G27" s="20" t="n">
        <x:f>IFERROR(E27/F27,0)</x:f>
        <x:v>0.5233644859813084</x:v>
      </x:c>
      <x:c r="H27" t="str">
        <x:f>TEXT(D27,"mmm")</x:f>
        <x:v>Jan</x:v>
      </x:c>
      <x:c r="I27" s="22" t="n">
        <x:f>MONTH(D27)</x:f>
        <x:v>1</x:v>
      </x:c>
      <x:c r="J27" s="22" t="n">
        <x:f>YEAR(D27)</x:f>
        <x:v>2022</x:v>
      </x:c>
      <x:c r="K27" t="str">
        <x:f>IF(F27&gt;200,"Large Order","Standard Order")</x:f>
        <x:v>Large Order</x:v>
      </x:c>
    </x:row>
    <x:row r="28">
      <x:c r="A28" t="str">
        <x:v>Roddy Speechley</x:v>
      </x:c>
      <x:c r="B28" t="str">
        <x:v>Canada</x:v>
      </x:c>
      <x:c r="C28" t="str">
        <x:v>Spicy Special Slims</x:v>
      </x:c>
      <x:c r="D28" s="14" t="n">
        <x:v>44601</x:v>
      </x:c>
      <x:c r="E28" s="16" t="n">
        <x:v>1652</x:v>
      </x:c>
      <x:c r="F28" s="18" t="n">
        <x:v>186</x:v>
      </x:c>
      <x:c r="G28" s="20" t="n">
        <x:f>IFERROR(E28/F28,0)</x:f>
        <x:v>8.881720430107526</x:v>
      </x:c>
      <x:c r="H28" t="str">
        <x:f>TEXT(D28,"mmm")</x:f>
        <x:v>Feb</x:v>
      </x:c>
      <x:c r="I28" s="22" t="n">
        <x:f>MONTH(D28)</x:f>
        <x:v>2</x:v>
      </x:c>
      <x:c r="J28" s="22" t="n">
        <x:f>YEAR(D28)</x:f>
        <x:v>2022</x:v>
      </x:c>
      <x:c r="K28" t="str">
        <x:f>IF(F28&gt;200,"Large Order","Standard Order")</x:f>
        <x:v>Standard Order</x:v>
      </x:c>
    </x:row>
    <x:row r="29">
      <x:c r="A29" t="str">
        <x:v>Husein Augar</x:v>
      </x:c>
      <x:c r="B29" t="str">
        <x:v>USA</x:v>
      </x:c>
      <x:c r="C29" t="str">
        <x:v>Eclairs</x:v>
      </x:c>
      <x:c r="D29" s="14" t="n">
        <x:v>44749</x:v>
      </x:c>
      <x:c r="E29" s="16" t="n">
        <x:v>4025</x:v>
      </x:c>
      <x:c r="F29" s="18" t="n">
        <x:v>112</x:v>
      </x:c>
      <x:c r="G29" s="20" t="n">
        <x:f>IFERROR(E29/F29,0)</x:f>
        <x:v>35.9375</x:v>
      </x:c>
      <x:c r="H29" t="str">
        <x:f>TEXT(D29,"mmm")</x:f>
        <x:v>Jul</x:v>
      </x:c>
      <x:c r="I29" s="22" t="n">
        <x:f>MONTH(D29)</x:f>
        <x:v>7</x:v>
      </x:c>
      <x:c r="J29" s="22" t="n">
        <x:f>YEAR(D29)</x:f>
        <x:v>2022</x:v>
      </x:c>
      <x:c r="K29" t="str">
        <x:f>IF(F29&gt;200,"Large Order","Standard Order")</x:f>
        <x:v>Standard Order</x:v>
      </x:c>
    </x:row>
    <x:row r="30">
      <x:c r="A30" t="str">
        <x:v>Dennison Crosswaite</x:v>
      </x:c>
      <x:c r="B30" t="str">
        <x:v>New Zealand</x:v>
      </x:c>
      <x:c r="C30" t="str">
        <x:v>White Choc</x:v>
      </x:c>
      <x:c r="D30" s="14" t="n">
        <x:v>44747</x:v>
      </x:c>
      <x:c r="E30" s="16" t="n">
        <x:v>9492</x:v>
      </x:c>
      <x:c r="F30" s="18" t="n">
        <x:v>151</x:v>
      </x:c>
      <x:c r="G30" s="20" t="n">
        <x:f>IFERROR(E30/F30,0)</x:f>
        <x:v>62.86092715231788</x:v>
      </x:c>
      <x:c r="H30" t="str">
        <x:f>TEXT(D30,"mmm")</x:f>
        <x:v>Jul</x:v>
      </x:c>
      <x:c r="I30" s="22" t="n">
        <x:f>MONTH(D30)</x:f>
        <x:v>7</x:v>
      </x:c>
      <x:c r="J30" s="22" t="n">
        <x:f>YEAR(D30)</x:f>
        <x:v>2022</x:v>
      </x:c>
      <x:c r="K30" t="str">
        <x:f>IF(F30&gt;200,"Large Order","Standard Order")</x:f>
        <x:v>Standard Order</x:v>
      </x:c>
    </x:row>
    <x:row r="31">
      <x:c r="A31" t="str">
        <x:v>Dennison Crosswaite</x:v>
      </x:c>
      <x:c r="B31" t="str">
        <x:v>New Zealand</x:v>
      </x:c>
      <x:c r="C31" t="str">
        <x:v>Manuka Honey Choco</x:v>
      </x:c>
      <x:c r="D31" s="14" t="n">
        <x:v>44727</x:v>
      </x:c>
      <x:c r="E31" s="16" t="n">
        <x:v>5061</x:v>
      </x:c>
      <x:c r="F31" s="18" t="n">
        <x:v>301</x:v>
      </x:c>
      <x:c r="G31" s="20" t="n">
        <x:f>IFERROR(E31/F31,0)</x:f>
        <x:v>16.813953488372093</x:v>
      </x:c>
      <x:c r="H31" t="str">
        <x:f>TEXT(D31,"mmm")</x:f>
        <x:v>Jun</x:v>
      </x:c>
      <x:c r="I31" s="22" t="n">
        <x:f>MONTH(D31)</x:f>
        <x:v>6</x:v>
      </x:c>
      <x:c r="J31" s="22" t="n">
        <x:f>YEAR(D31)</x:f>
        <x:v>2022</x:v>
      </x:c>
      <x:c r="K31" t="str">
        <x:f>IF(F31&gt;200,"Large Order","Standard Order")</x:f>
        <x:v>Large Order</x:v>
      </x:c>
    </x:row>
    <x:row r="32">
      <x:c r="A32" t="str">
        <x:v>Van Tuxwell</x:v>
      </x:c>
      <x:c r="B32" t="str">
        <x:v>New Zealand</x:v>
      </x:c>
      <x:c r="C32" t="str">
        <x:v>85% Dark Bars</x:v>
      </x:c>
      <x:c r="D32" s="14" t="n">
        <x:v>44705</x:v>
      </x:c>
      <x:c r="E32" s="16" t="n">
        <x:v>1722</x:v>
      </x:c>
      <x:c r="F32" s="18" t="n">
        <x:v>121</x:v>
      </x:c>
      <x:c r="G32" s="20" t="n">
        <x:f>IFERROR(E32/F32,0)</x:f>
        <x:v>14.231404958677686</x:v>
      </x:c>
      <x:c r="H32" t="str">
        <x:f>TEXT(D32,"mmm")</x:f>
        <x:v>May</x:v>
      </x:c>
      <x:c r="I32" s="22" t="n">
        <x:f>MONTH(D32)</x:f>
        <x:v>5</x:v>
      </x:c>
      <x:c r="J32" s="22" t="n">
        <x:f>YEAR(D32)</x:f>
        <x:v>2022</x:v>
      </x:c>
      <x:c r="K32" t="str">
        <x:f>IF(F32&gt;200,"Large Order","Standard Order")</x:f>
        <x:v>Standard Order</x:v>
      </x:c>
    </x:row>
    <x:row r="33">
      <x:c r="A33" t="str">
        <x:v>Rafaelita Blaksland</x:v>
      </x:c>
      <x:c r="B33" t="str">
        <x:v>UK</x:v>
      </x:c>
      <x:c r="C33" t="str">
        <x:v>99% Dark &amp; Pure</x:v>
      </x:c>
      <x:c r="D33" s="14" t="n">
        <x:v>44741</x:v>
      </x:c>
      <x:c r="E33" s="16" t="n">
        <x:v>12446</x:v>
      </x:c>
      <x:c r="F33" s="18" t="n">
        <x:v>150</x:v>
      </x:c>
      <x:c r="G33" s="20" t="n">
        <x:f>IFERROR(E33/F33,0)</x:f>
        <x:v>82.97333333333333</x:v>
      </x:c>
      <x:c r="H33" t="str">
        <x:f>TEXT(D33,"mmm")</x:f>
        <x:v>Jun</x:v>
      </x:c>
      <x:c r="I33" s="22" t="n">
        <x:f>MONTH(D33)</x:f>
        <x:v>6</x:v>
      </x:c>
      <x:c r="J33" s="22" t="n">
        <x:f>YEAR(D33)</x:f>
        <x:v>2022</x:v>
      </x:c>
      <x:c r="K33" t="str">
        <x:f>IF(F33&gt;200,"Large Order","Standard Order")</x:f>
        <x:v>Standard Order</x:v>
      </x:c>
    </x:row>
    <x:row r="34">
      <x:c r="A34" t="str">
        <x:v>Wilone O'Kielt</x:v>
      </x:c>
      <x:c r="B34" t="str">
        <x:v>Australia</x:v>
      </x:c>
      <x:c r="C34" t="str">
        <x:v>Manuka Honey Choco</x:v>
      </x:c>
      <x:c r="D34" s="14" t="n">
        <x:v>44692</x:v>
      </x:c>
      <x:c r="E34" s="16" t="n">
        <x:v>4284</x:v>
      </x:c>
      <x:c r="F34" s="18" t="n">
        <x:v>94</x:v>
      </x:c>
      <x:c r="G34" s="20" t="n">
        <x:f>IFERROR(E34/F34,0)</x:f>
        <x:v>45.57446808510638</x:v>
      </x:c>
      <x:c r="H34" t="str">
        <x:f>TEXT(D34,"mmm")</x:f>
        <x:v>May</x:v>
      </x:c>
      <x:c r="I34" s="22" t="n">
        <x:f>MONTH(D34)</x:f>
        <x:v>5</x:v>
      </x:c>
      <x:c r="J34" s="22" t="n">
        <x:f>YEAR(D34)</x:f>
        <x:v>2022</x:v>
      </x:c>
      <x:c r="K34" t="str">
        <x:f>IF(F34&gt;200,"Large Order","Standard Order")</x:f>
        <x:v>Standard Order</x:v>
      </x:c>
    </x:row>
    <x:row r="35">
      <x:c r="A35" t="str">
        <x:v>Karlen McCaffrey</x:v>
      </x:c>
      <x:c r="B35" t="str">
        <x:v>UK</x:v>
      </x:c>
      <x:c r="C35" t="str">
        <x:v>Almond Choco</x:v>
      </x:c>
      <x:c r="D35" s="14" t="n">
        <x:v>44742</x:v>
      </x:c>
      <x:c r="E35" s="16" t="n">
        <x:v>6839</x:v>
      </x:c>
      <x:c r="F35" s="18" t="n">
        <x:v>133</x:v>
      </x:c>
      <x:c r="G35" s="20" t="n">
        <x:f>IFERROR(E35/F35,0)</x:f>
        <x:v>51.421052631578945</x:v>
      </x:c>
      <x:c r="H35" t="str">
        <x:f>TEXT(D35,"mmm")</x:f>
        <x:v>Jun</x:v>
      </x:c>
      <x:c r="I35" s="22" t="n">
        <x:f>MONTH(D35)</x:f>
        <x:v>6</x:v>
      </x:c>
      <x:c r="J35" s="22" t="n">
        <x:f>YEAR(D35)</x:f>
        <x:v>2022</x:v>
      </x:c>
      <x:c r="K35" t="str">
        <x:f>IF(F35&gt;200,"Large Order","Standard Order")</x:f>
        <x:v>Standard Order</x:v>
      </x:c>
    </x:row>
    <x:row r="36">
      <x:c r="A36" t="str">
        <x:v>Andria Kimpton</x:v>
      </x:c>
      <x:c r="B36" t="str">
        <x:v>Canada</x:v>
      </x:c>
      <x:c r="C36" t="str">
        <x:v>After Nines</x:v>
      </x:c>
      <x:c r="D36" s="14" t="n">
        <x:v>44692</x:v>
      </x:c>
      <x:c r="E36" s="16" t="n">
        <x:v>2163</x:v>
      </x:c>
      <x:c r="F36" s="18" t="n">
        <x:v>70</x:v>
      </x:c>
      <x:c r="G36" s="20" t="n">
        <x:f>IFERROR(E36/F36,0)</x:f>
        <x:v>30.9</x:v>
      </x:c>
      <x:c r="H36" t="str">
        <x:f>TEXT(D36,"mmm")</x:f>
        <x:v>May</x:v>
      </x:c>
      <x:c r="I36" s="22" t="n">
        <x:f>MONTH(D36)</x:f>
        <x:v>5</x:v>
      </x:c>
      <x:c r="J36" s="22" t="n">
        <x:f>YEAR(D36)</x:f>
        <x:v>2022</x:v>
      </x:c>
      <x:c r="K36" t="str">
        <x:f>IF(F36&gt;200,"Large Order","Standard Order")</x:f>
        <x:v>Standard Order</x:v>
      </x:c>
    </x:row>
    <x:row r="37">
      <x:c r="A37" t="str">
        <x:v>Roddy Speechley</x:v>
      </x:c>
      <x:c r="B37" t="str">
        <x:v>USA</x:v>
      </x:c>
      <x:c r="C37" t="str">
        <x:v>Manuka Honey Choco</x:v>
      </x:c>
      <x:c r="D37" s="14" t="n">
        <x:v>44764</x:v>
      </x:c>
      <x:c r="E37" s="16" t="n">
        <x:v>9583</x:v>
      </x:c>
      <x:c r="F37" s="18" t="n">
        <x:v>315</x:v>
      </x:c>
      <x:c r="G37" s="20" t="n">
        <x:f>IFERROR(E37/F37,0)</x:f>
        <x:v>30.42222222222222</x:v>
      </x:c>
      <x:c r="H37" t="str">
        <x:f>TEXT(D37,"mmm")</x:f>
        <x:v>Jul</x:v>
      </x:c>
      <x:c r="I37" s="22" t="n">
        <x:f>MONTH(D37)</x:f>
        <x:v>7</x:v>
      </x:c>
      <x:c r="J37" s="22" t="n">
        <x:f>YEAR(D37)</x:f>
        <x:v>2022</x:v>
      </x:c>
      <x:c r="K37" t="str">
        <x:f>IF(F37&gt;200,"Large Order","Standard Order")</x:f>
        <x:v>Large Order</x:v>
      </x:c>
    </x:row>
    <x:row r="38">
      <x:c r="A38" t="str">
        <x:v>Andria Kimpton</x:v>
      </x:c>
      <x:c r="B38" t="str">
        <x:v>UK</x:v>
      </x:c>
      <x:c r="C38" t="str">
        <x:v>50% Dark Bites</x:v>
      </x:c>
      <x:c r="D38" s="14" t="n">
        <x:v>44797</x:v>
      </x:c>
      <x:c r="E38" s="16" t="n">
        <x:v>2653</x:v>
      </x:c>
      <x:c r="F38" s="18" t="n">
        <x:v>314</x:v>
      </x:c>
      <x:c r="G38" s="20" t="n">
        <x:f>IFERROR(E38/F38,0)</x:f>
        <x:v>8.449044585987261</x:v>
      </x:c>
      <x:c r="H38" t="str">
        <x:f>TEXT(D38,"mmm")</x:f>
        <x:v>Aug</x:v>
      </x:c>
      <x:c r="I38" s="22" t="n">
        <x:f>MONTH(D38)</x:f>
        <x:v>8</x:v>
      </x:c>
      <x:c r="J38" s="22" t="n">
        <x:f>YEAR(D38)</x:f>
        <x:v>2022</x:v>
      </x:c>
      <x:c r="K38" t="str">
        <x:f>IF(F38&gt;200,"Large Order","Standard Order")</x:f>
        <x:v>Large Order</x:v>
      </x:c>
    </x:row>
    <x:row r="39">
      <x:c r="A39" t="str">
        <x:v>Kelci Walkden</x:v>
      </x:c>
      <x:c r="B39" t="str">
        <x:v>New Zealand</x:v>
      </x:c>
      <x:c r="C39" t="str">
        <x:v>After Nines</x:v>
      </x:c>
      <x:c r="D39" s="14" t="n">
        <x:v>44749</x:v>
      </x:c>
      <x:c r="E39" s="16" t="n">
        <x:v>147</x:v>
      </x:c>
      <x:c r="F39" s="18" t="n">
        <x:v>72</x:v>
      </x:c>
      <x:c r="G39" s="20" t="n">
        <x:f>IFERROR(E39/F39,0)</x:f>
        <x:v>2.0416666666666665</x:v>
      </x:c>
      <x:c r="H39" t="str">
        <x:f>TEXT(D39,"mmm")</x:f>
        <x:v>Jul</x:v>
      </x:c>
      <x:c r="I39" s="22" t="n">
        <x:f>MONTH(D39)</x:f>
        <x:v>7</x:v>
      </x:c>
      <x:c r="J39" s="22" t="n">
        <x:f>YEAR(D39)</x:f>
        <x:v>2022</x:v>
      </x:c>
      <x:c r="K39" t="str">
        <x:f>IF(F39&gt;200,"Large Order","Standard Order")</x:f>
        <x:v>Standard Order</x:v>
      </x:c>
    </x:row>
    <x:row r="40">
      <x:c r="A40" t="str">
        <x:v>Camilla Castle</x:v>
      </x:c>
      <x:c r="B40" t="str">
        <x:v>Australia</x:v>
      </x:c>
      <x:c r="C40" t="str">
        <x:v>85% Dark Bars</x:v>
      </x:c>
      <x:c r="D40" s="14" t="n">
        <x:v>44700</x:v>
      </x:c>
      <x:c r="E40" s="16" t="n">
        <x:v>3654</x:v>
      </x:c>
      <x:c r="F40" s="18" t="n">
        <x:v>14</x:v>
      </x:c>
      <x:c r="G40" s="20" t="n">
        <x:f>IFERROR(E40/F40,0)</x:f>
        <x:v>261</x:v>
      </x:c>
      <x:c r="H40" t="str">
        <x:f>TEXT(D40,"mmm")</x:f>
        <x:v>May</x:v>
      </x:c>
      <x:c r="I40" s="22" t="n">
        <x:f>MONTH(D40)</x:f>
        <x:v>5</x:v>
      </x:c>
      <x:c r="J40" s="22" t="n">
        <x:f>YEAR(D40)</x:f>
        <x:v>2022</x:v>
      </x:c>
      <x:c r="K40" t="str">
        <x:f>IF(F40&gt;200,"Large Order","Standard Order")</x:f>
        <x:v>Standard Order</x:v>
      </x:c>
    </x:row>
    <x:row r="41">
      <x:c r="A41" t="str">
        <x:v>Karlen McCaffrey</x:v>
      </x:c>
      <x:c r="B41" t="str">
        <x:v>India</x:v>
      </x:c>
      <x:c r="C41" t="str">
        <x:v>Manuka Honey Choco</x:v>
      </x:c>
      <x:c r="D41" s="14" t="n">
        <x:v>44746</x:v>
      </x:c>
      <x:c r="E41" s="16" t="n">
        <x:v>2443</x:v>
      </x:c>
      <x:c r="F41" s="18" t="n">
        <x:v>581</x:v>
      </x:c>
      <x:c r="G41" s="20" t="n">
        <x:f>IFERROR(E41/F41,0)</x:f>
        <x:v>4.204819277108434</x:v>
      </x:c>
      <x:c r="H41" t="str">
        <x:f>TEXT(D41,"mmm")</x:f>
        <x:v>Jul</x:v>
      </x:c>
      <x:c r="I41" s="22" t="n">
        <x:f>MONTH(D41)</x:f>
        <x:v>7</x:v>
      </x:c>
      <x:c r="J41" s="22" t="n">
        <x:f>YEAR(D41)</x:f>
        <x:v>2022</x:v>
      </x:c>
      <x:c r="K41" t="str">
        <x:f>IF(F41&gt;200,"Large Order","Standard Order")</x:f>
        <x:v>Large Order</x:v>
      </x:c>
    </x:row>
    <x:row r="42">
      <x:c r="A42" t="str">
        <x:v>Kelci Walkden</x:v>
      </x:c>
      <x:c r="B42" t="str">
        <x:v>USA</x:v>
      </x:c>
      <x:c r="C42" t="str">
        <x:v>After Nines</x:v>
      </x:c>
      <x:c r="D42" s="14" t="n">
        <x:v>44714</x:v>
      </x:c>
      <x:c r="E42" s="16" t="n">
        <x:v>938</x:v>
      </x:c>
      <x:c r="F42" s="18" t="n">
        <x:v>16</x:v>
      </x:c>
      <x:c r="G42" s="20" t="n">
        <x:f>IFERROR(E42/F42,0)</x:f>
        <x:v>58.625</x:v>
      </x:c>
      <x:c r="H42" t="str">
        <x:f>TEXT(D42,"mmm")</x:f>
        <x:v>Jun</x:v>
      </x:c>
      <x:c r="I42" s="22" t="n">
        <x:f>MONTH(D42)</x:f>
        <x:v>6</x:v>
      </x:c>
      <x:c r="J42" s="22" t="n">
        <x:f>YEAR(D42)</x:f>
        <x:v>2022</x:v>
      </x:c>
      <x:c r="K42" t="str">
        <x:f>IF(F42&gt;200,"Large Order","Standard Order")</x:f>
        <x:v>Standard Order</x:v>
      </x:c>
    </x:row>
    <x:row r="43">
      <x:c r="A43" t="str">
        <x:v>Karlen McCaffrey</x:v>
      </x:c>
      <x:c r="B43" t="str">
        <x:v>USA</x:v>
      </x:c>
      <x:c r="C43" t="str">
        <x:v>Raspberry Choco</x:v>
      </x:c>
      <x:c r="D43" s="14" t="n">
        <x:v>44666</x:v>
      </x:c>
      <x:c r="E43" s="16" t="n">
        <x:v>14749</x:v>
      </x:c>
      <x:c r="F43" s="18" t="n">
        <x:v>354</x:v>
      </x:c>
      <x:c r="G43" s="20" t="n">
        <x:f>IFERROR(E43/F43,0)</x:f>
        <x:v>41.663841807909606</x:v>
      </x:c>
      <x:c r="H43" t="str">
        <x:f>TEXT(D43,"mmm")</x:f>
        <x:v>Apr</x:v>
      </x:c>
      <x:c r="I43" s="22" t="n">
        <x:f>MONTH(D43)</x:f>
        <x:v>4</x:v>
      </x:c>
      <x:c r="J43" s="22" t="n">
        <x:f>YEAR(D43)</x:f>
        <x:v>2022</x:v>
      </x:c>
      <x:c r="K43" t="str">
        <x:f>IF(F43&gt;200,"Large Order","Standard Order")</x:f>
        <x:v>Large Order</x:v>
      </x:c>
    </x:row>
    <x:row r="44">
      <x:c r="A44" t="str">
        <x:v>Mallorie Waber</x:v>
      </x:c>
      <x:c r="B44" t="str">
        <x:v>Canada</x:v>
      </x:c>
      <x:c r="C44" t="str">
        <x:v>Choco Coated Almonds</x:v>
      </x:c>
      <x:c r="D44" s="14" t="n">
        <x:v>44753</x:v>
      </x:c>
      <x:c r="E44" s="16" t="n">
        <x:v>4781</x:v>
      </x:c>
      <x:c r="F44" s="18" t="n">
        <x:v>241</x:v>
      </x:c>
      <x:c r="G44" s="20" t="n">
        <x:f>IFERROR(E44/F44,0)</x:f>
        <x:v>19.83817427385892</x:v>
      </x:c>
      <x:c r="H44" t="str">
        <x:f>TEXT(D44,"mmm")</x:f>
        <x:v>Jul</x:v>
      </x:c>
      <x:c r="I44" s="22" t="n">
        <x:f>MONTH(D44)</x:f>
        <x:v>7</x:v>
      </x:c>
      <x:c r="J44" s="22" t="n">
        <x:f>YEAR(D44)</x:f>
        <x:v>2022</x:v>
      </x:c>
      <x:c r="K44" t="str">
        <x:f>IF(F44&gt;200,"Large Order","Standard Order")</x:f>
        <x:v>Large Order</x:v>
      </x:c>
    </x:row>
    <x:row r="45">
      <x:c r="A45" t="str">
        <x:v>Andria Kimpton</x:v>
      </x:c>
      <x:c r="B45" t="str">
        <x:v>India</x:v>
      </x:c>
      <x:c r="C45" t="str">
        <x:v>Spicy Special Slims</x:v>
      </x:c>
      <x:c r="D45" s="14" t="n">
        <x:v>44615</x:v>
      </x:c>
      <x:c r="E45" s="16" t="n">
        <x:v>6307</x:v>
      </x:c>
      <x:c r="F45" s="18" t="n">
        <x:v>142</x:v>
      </x:c>
      <x:c r="G45" s="20" t="n">
        <x:f>IFERROR(E45/F45,0)</x:f>
        <x:v>44.41549295774648</x:v>
      </x:c>
      <x:c r="H45" t="str">
        <x:f>TEXT(D45,"mmm")</x:f>
        <x:v>Feb</x:v>
      </x:c>
      <x:c r="I45" s="22" t="n">
        <x:f>MONTH(D45)</x:f>
        <x:v>2</x:v>
      </x:c>
      <x:c r="J45" s="22" t="n">
        <x:f>YEAR(D45)</x:f>
        <x:v>2022</x:v>
      </x:c>
      <x:c r="K45" t="str">
        <x:f>IF(F45&gt;200,"Large Order","Standard Order")</x:f>
        <x:v>Standard Order</x:v>
      </x:c>
    </x:row>
    <x:row r="46">
      <x:c r="A46" t="str">
        <x:v>Madelene Upcott</x:v>
      </x:c>
      <x:c r="B46" t="str">
        <x:v>Canada</x:v>
      </x:c>
      <x:c r="C46" t="str">
        <x:v>Almond Choco</x:v>
      </x:c>
      <x:c r="D46" s="14" t="n">
        <x:v>44795</x:v>
      </x:c>
      <x:c r="E46" s="16" t="n">
        <x:v>7602</x:v>
      </x:c>
      <x:c r="F46" s="18" t="n">
        <x:v>102</x:v>
      </x:c>
      <x:c r="G46" s="20" t="n">
        <x:f>IFERROR(E46/F46,0)</x:f>
        <x:v>74.52941176470588</x:v>
      </x:c>
      <x:c r="H46" t="str">
        <x:f>TEXT(D46,"mmm")</x:f>
        <x:v>Aug</x:v>
      </x:c>
      <x:c r="I46" s="22" t="n">
        <x:f>MONTH(D46)</x:f>
        <x:v>8</x:v>
      </x:c>
      <x:c r="J46" s="22" t="n">
        <x:f>YEAR(D46)</x:f>
        <x:v>2022</x:v>
      </x:c>
      <x:c r="K46" t="str">
        <x:f>IF(F46&gt;200,"Large Order","Standard Order")</x:f>
        <x:v>Standard Order</x:v>
      </x:c>
    </x:row>
    <x:row r="47">
      <x:c r="A47" t="str">
        <x:v>Kaine Padly</x:v>
      </x:c>
      <x:c r="B47" t="str">
        <x:v>USA</x:v>
      </x:c>
      <x:c r="C47" t="str">
        <x:v>Peanut Butter Cubes</x:v>
      </x:c>
      <x:c r="D47" s="14" t="n">
        <x:v>44608</x:v>
      </x:c>
      <x:c r="E47" s="16" t="n">
        <x:v>6790</x:v>
      </x:c>
      <x:c r="F47" s="18" t="n">
        <x:v>188</x:v>
      </x:c>
      <x:c r="G47" s="20" t="n">
        <x:f>IFERROR(E47/F47,0)</x:f>
        <x:v>36.11702127659574</x:v>
      </x:c>
      <x:c r="H47" t="str">
        <x:f>TEXT(D47,"mmm")</x:f>
        <x:v>Feb</x:v>
      </x:c>
      <x:c r="I47" s="22" t="n">
        <x:f>MONTH(D47)</x:f>
        <x:v>2</x:v>
      </x:c>
      <x:c r="J47" s="22" t="n">
        <x:f>YEAR(D47)</x:f>
        <x:v>2022</x:v>
      </x:c>
      <x:c r="K47" t="str">
        <x:f>IF(F47&gt;200,"Large Order","Standard Order")</x:f>
        <x:v>Standard Order</x:v>
      </x:c>
    </x:row>
    <x:row r="48">
      <x:c r="A48" t="str">
        <x:v>Van Tuxwell</x:v>
      </x:c>
      <x:c r="B48" t="str">
        <x:v>USA</x:v>
      </x:c>
      <x:c r="C48" t="str">
        <x:v>50% Dark Bites</x:v>
      </x:c>
      <x:c r="D48" s="14" t="n">
        <x:v>44574</x:v>
      </x:c>
      <x:c r="E48" s="16" t="n">
        <x:v>9737</x:v>
      </x:c>
      <x:c r="F48" s="18" t="n">
        <x:v>160</x:v>
      </x:c>
      <x:c r="G48" s="20" t="n">
        <x:f>IFERROR(E48/F48,0)</x:f>
        <x:v>60.85625</x:v>
      </x:c>
      <x:c r="H48" t="str">
        <x:f>TEXT(D48,"mmm")</x:f>
        <x:v>Jan</x:v>
      </x:c>
      <x:c r="I48" s="22" t="n">
        <x:f>MONTH(D48)</x:f>
        <x:v>1</x:v>
      </x:c>
      <x:c r="J48" s="22" t="n">
        <x:f>YEAR(D48)</x:f>
        <x:v>2022</x:v>
      </x:c>
      <x:c r="K48" t="str">
        <x:f>IF(F48&gt;200,"Large Order","Standard Order")</x:f>
        <x:v>Standard Order</x:v>
      </x:c>
    </x:row>
    <x:row r="49">
      <x:c r="A49" t="str">
        <x:v>Curtice Advani</x:v>
      </x:c>
      <x:c r="B49" t="str">
        <x:v>Australia</x:v>
      </x:c>
      <x:c r="C49" t="str">
        <x:v>Milk Bars</x:v>
      </x:c>
      <x:c r="D49" s="14" t="n">
        <x:v>44606</x:v>
      </x:c>
      <x:c r="E49" s="16" t="n">
        <x:v>6979</x:v>
      </x:c>
      <x:c r="F49" s="18" t="n">
        <x:v>18</x:v>
      </x:c>
      <x:c r="G49" s="20" t="n">
        <x:f>IFERROR(E49/F49,0)</x:f>
        <x:v>387.72222222222223</x:v>
      </x:c>
      <x:c r="H49" t="str">
        <x:f>TEXT(D49,"mmm")</x:f>
        <x:v>Feb</x:v>
      </x:c>
      <x:c r="I49" s="22" t="n">
        <x:f>MONTH(D49)</x:f>
        <x:v>2</x:v>
      </x:c>
      <x:c r="J49" s="22" t="n">
        <x:f>YEAR(D49)</x:f>
        <x:v>2022</x:v>
      </x:c>
      <x:c r="K49" t="str">
        <x:f>IF(F49&gt;200,"Large Order","Standard Order")</x:f>
        <x:v>Standard Order</x:v>
      </x:c>
    </x:row>
    <x:row r="50">
      <x:c r="A50" t="str">
        <x:v>Roddy Speechley</x:v>
      </x:c>
      <x:c r="B50" t="str">
        <x:v>India</x:v>
      </x:c>
      <x:c r="C50" t="str">
        <x:v>Eclairs</x:v>
      </x:c>
      <x:c r="D50" s="14" t="n">
        <x:v>44722</x:v>
      </x:c>
      <x:c r="E50" s="16" t="n">
        <x:v>4382</x:v>
      </x:c>
      <x:c r="F50" s="18" t="n">
        <x:v>303</x:v>
      </x:c>
      <x:c r="G50" s="20" t="n">
        <x:f>IFERROR(E50/F50,0)</x:f>
        <x:v>14.462046204620462</x:v>
      </x:c>
      <x:c r="H50" t="str">
        <x:f>TEXT(D50,"mmm")</x:f>
        <x:v>Jun</x:v>
      </x:c>
      <x:c r="I50" s="22" t="n">
        <x:f>MONTH(D50)</x:f>
        <x:v>6</x:v>
      </x:c>
      <x:c r="J50" s="22" t="n">
        <x:f>YEAR(D50)</x:f>
        <x:v>2022</x:v>
      </x:c>
      <x:c r="K50" t="str">
        <x:f>IF(F50&gt;200,"Large Order","Standard Order")</x:f>
        <x:v>Large Order</x:v>
      </x:c>
    </x:row>
    <x:row r="51">
      <x:c r="A51" t="str">
        <x:v>Curtice Advani</x:v>
      </x:c>
      <x:c r="B51" t="str">
        <x:v>India</x:v>
      </x:c>
      <x:c r="C51" t="str">
        <x:v>Fruit &amp; Nut Bars</x:v>
      </x:c>
      <x:c r="D51" s="14" t="n">
        <x:v>44749</x:v>
      </x:c>
      <x:c r="E51" s="16" t="n">
        <x:v>5243</x:v>
      </x:c>
      <x:c r="F51" s="18" t="n">
        <x:v>176</x:v>
      </x:c>
      <x:c r="G51" s="20" t="n">
        <x:f>IFERROR(E51/F51,0)</x:f>
        <x:v>29.789772727272727</x:v>
      </x:c>
      <x:c r="H51" t="str">
        <x:f>TEXT(D51,"mmm")</x:f>
        <x:v>Jul</x:v>
      </x:c>
      <x:c r="I51" s="22" t="n">
        <x:f>MONTH(D51)</x:f>
        <x:v>7</x:v>
      </x:c>
      <x:c r="J51" s="22" t="n">
        <x:f>YEAR(D51)</x:f>
        <x:v>2022</x:v>
      </x:c>
      <x:c r="K51" t="str">
        <x:f>IF(F51&gt;200,"Large Order","Standard Order")</x:f>
        <x:v>Standard Order</x:v>
      </x:c>
    </x:row>
    <x:row r="52">
      <x:c r="A52" t="str">
        <x:v>Curtice Advani</x:v>
      </x:c>
      <x:c r="B52" t="str">
        <x:v>Canada</x:v>
      </x:c>
      <x:c r="C52" t="str">
        <x:v>Almond Choco</x:v>
      </x:c>
      <x:c r="D52" s="14" t="n">
        <x:v>44644</x:v>
      </x:c>
      <x:c r="E52" s="16" t="n">
        <x:v>4865</x:v>
      </x:c>
      <x:c r="F52" s="18" t="n">
        <x:v>70</x:v>
      </x:c>
      <x:c r="G52" s="20" t="n">
        <x:f>IFERROR(E52/F52,0)</x:f>
        <x:v>69.5</x:v>
      </x:c>
      <x:c r="H52" t="str">
        <x:f>TEXT(D52,"mmm")</x:f>
        <x:v>Mar</x:v>
      </x:c>
      <x:c r="I52" s="22" t="n">
        <x:f>MONTH(D52)</x:f>
        <x:v>3</x:v>
      </x:c>
      <x:c r="J52" s="22" t="n">
        <x:f>YEAR(D52)</x:f>
        <x:v>2022</x:v>
      </x:c>
      <x:c r="K52" t="str">
        <x:f>IF(F52&gt;200,"Large Order","Standard Order")</x:f>
        <x:v>Standard Order</x:v>
      </x:c>
    </x:row>
    <x:row r="53">
      <x:c r="A53" t="str">
        <x:v>Brien Boise</x:v>
      </x:c>
      <x:c r="B53" t="str">
        <x:v>Australia</x:v>
      </x:c>
      <x:c r="C53" t="str">
        <x:v>Fruit &amp; Nut Bars</x:v>
      </x:c>
      <x:c r="D53" s="14" t="n">
        <x:v>44718</x:v>
      </x:c>
      <x:c r="E53" s="16" t="n">
        <x:v>8575</x:v>
      </x:c>
      <x:c r="F53" s="18" t="n">
        <x:v>23</x:v>
      </x:c>
      <x:c r="G53" s="20" t="n">
        <x:f>IFERROR(E53/F53,0)</x:f>
        <x:v>372.82608695652175</x:v>
      </x:c>
      <x:c r="H53" t="str">
        <x:f>TEXT(D53,"mmm")</x:f>
        <x:v>Jun</x:v>
      </x:c>
      <x:c r="I53" s="22" t="n">
        <x:f>MONTH(D53)</x:f>
        <x:v>6</x:v>
      </x:c>
      <x:c r="J53" s="22" t="n">
        <x:f>YEAR(D53)</x:f>
        <x:v>2022</x:v>
      </x:c>
      <x:c r="K53" t="str">
        <x:f>IF(F53&gt;200,"Large Order","Standard Order")</x:f>
        <x:v>Standard Order</x:v>
      </x:c>
    </x:row>
    <x:row r="54">
      <x:c r="A54" t="str">
        <x:v>Dotty Strutley</x:v>
      </x:c>
      <x:c r="B54" t="str">
        <x:v>Australia</x:v>
      </x:c>
      <x:c r="C54" t="str">
        <x:v>Drinking Coco</x:v>
      </x:c>
      <x:c r="D54" s="14" t="n">
        <x:v>44761</x:v>
      </x:c>
      <x:c r="E54" s="16" t="n">
        <x:v>91</x:v>
      </x:c>
      <x:c r="F54" s="18" t="n">
        <x:v>135</x:v>
      </x:c>
      <x:c r="G54" s="20" t="n">
        <x:f>IFERROR(E54/F54,0)</x:f>
        <x:v>0.674074074074074</x:v>
      </x:c>
      <x:c r="H54" t="str">
        <x:f>TEXT(D54,"mmm")</x:f>
        <x:v>Jul</x:v>
      </x:c>
      <x:c r="I54" s="22" t="n">
        <x:f>MONTH(D54)</x:f>
        <x:v>7</x:v>
      </x:c>
      <x:c r="J54" s="22" t="n">
        <x:f>YEAR(D54)</x:f>
        <x:v>2022</x:v>
      </x:c>
      <x:c r="K54" t="str">
        <x:f>IF(F54&gt;200,"Large Order","Standard Order")</x:f>
        <x:v>Standard Order</x:v>
      </x:c>
    </x:row>
    <x:row r="55">
      <x:c r="A55" t="str">
        <x:v>Beverie Moffet</x:v>
      </x:c>
      <x:c r="B55" t="str">
        <x:v>USA</x:v>
      </x:c>
      <x:c r="C55" t="str">
        <x:v>Raspberry Choco</x:v>
      </x:c>
      <x:c r="D55" s="14" t="n">
        <x:v>44670</x:v>
      </x:c>
      <x:c r="E55" s="16" t="n">
        <x:v>14798</x:v>
      </x:c>
      <x:c r="F55" s="18" t="n">
        <x:v>83</x:v>
      </x:c>
      <x:c r="G55" s="20" t="n">
        <x:f>IFERROR(E55/F55,0)</x:f>
        <x:v>178.289156626506</x:v>
      </x:c>
      <x:c r="H55" t="str">
        <x:f>TEXT(D55,"mmm")</x:f>
        <x:v>Apr</x:v>
      </x:c>
      <x:c r="I55" s="22" t="n">
        <x:f>MONTH(D55)</x:f>
        <x:v>4</x:v>
      </x:c>
      <x:c r="J55" s="22" t="n">
        <x:f>YEAR(D55)</x:f>
        <x:v>2022</x:v>
      </x:c>
      <x:c r="K55" t="str">
        <x:f>IF(F55&gt;200,"Large Order","Standard Order")</x:f>
        <x:v>Standard Order</x:v>
      </x:c>
    </x:row>
    <x:row r="56">
      <x:c r="A56" t="str">
        <x:v>Marney O'Breen</x:v>
      </x:c>
      <x:c r="B56" t="str">
        <x:v>India</x:v>
      </x:c>
      <x:c r="C56" t="str">
        <x:v>85% Dark Bars</x:v>
      </x:c>
      <x:c r="D56" s="14" t="n">
        <x:v>44761</x:v>
      </x:c>
      <x:c r="E56" s="16" t="n">
        <x:v>2205</x:v>
      </x:c>
      <x:c r="F56" s="18" t="n">
        <x:v>179</x:v>
      </x:c>
      <x:c r="G56" s="20" t="n">
        <x:f>IFERROR(E56/F56,0)</x:f>
        <x:v>12.318435754189943</x:v>
      </x:c>
      <x:c r="H56" t="str">
        <x:f>TEXT(D56,"mmm")</x:f>
        <x:v>Jul</x:v>
      </x:c>
      <x:c r="I56" s="22" t="n">
        <x:f>MONTH(D56)</x:f>
        <x:v>7</x:v>
      </x:c>
      <x:c r="J56" s="22" t="n">
        <x:f>YEAR(D56)</x:f>
        <x:v>2022</x:v>
      </x:c>
      <x:c r="K56" t="str">
        <x:f>IF(F56&gt;200,"Large Order","Standard Order")</x:f>
        <x:v>Standard Order</x:v>
      </x:c>
    </x:row>
    <x:row r="57">
      <x:c r="A57" t="str">
        <x:v>Jehu Rudeforth</x:v>
      </x:c>
      <x:c r="B57" t="str">
        <x:v>Canada</x:v>
      </x:c>
      <x:c r="C57" t="str">
        <x:v>Drinking Coco</x:v>
      </x:c>
      <x:c r="D57" s="14" t="n">
        <x:v>44757</x:v>
      </x:c>
      <x:c r="E57" s="16" t="n">
        <x:v>441</x:v>
      </x:c>
      <x:c r="F57" s="18" t="n">
        <x:v>24</x:v>
      </x:c>
      <x:c r="G57" s="20" t="n">
        <x:f>IFERROR(E57/F57,0)</x:f>
        <x:v>18.375</x:v>
      </x:c>
      <x:c r="H57" t="str">
        <x:f>TEXT(D57,"mmm")</x:f>
        <x:v>Jul</x:v>
      </x:c>
      <x:c r="I57" s="22" t="n">
        <x:f>MONTH(D57)</x:f>
        <x:v>7</x:v>
      </x:c>
      <x:c r="J57" s="22" t="n">
        <x:f>YEAR(D57)</x:f>
        <x:v>2022</x:v>
      </x:c>
      <x:c r="K57" t="str">
        <x:f>IF(F57&gt;200,"Large Order","Standard Order")</x:f>
        <x:v>Standard Order</x:v>
      </x:c>
    </x:row>
    <x:row r="58">
      <x:c r="A58" t="str">
        <x:v>Ches Bonnell</x:v>
      </x:c>
      <x:c r="B58" t="str">
        <x:v>New Zealand</x:v>
      </x:c>
      <x:c r="C58" t="str">
        <x:v>Spicy Special Slims</x:v>
      </x:c>
      <x:c r="D58" s="14" t="n">
        <x:v>44606</x:v>
      </x:c>
      <x:c r="E58" s="16" t="n">
        <x:v>3556</x:v>
      </x:c>
      <x:c r="F58" s="18" t="n">
        <x:v>18</x:v>
      </x:c>
      <x:c r="G58" s="20" t="n">
        <x:f>IFERROR(E58/F58,0)</x:f>
        <x:v>197.55555555555554</x:v>
      </x:c>
      <x:c r="H58" t="str">
        <x:f>TEXT(D58,"mmm")</x:f>
        <x:v>Feb</x:v>
      </x:c>
      <x:c r="I58" s="22" t="n">
        <x:f>MONTH(D58)</x:f>
        <x:v>2</x:v>
      </x:c>
      <x:c r="J58" s="22" t="n">
        <x:f>YEAR(D58)</x:f>
        <x:v>2022</x:v>
      </x:c>
      <x:c r="K58" t="str">
        <x:f>IF(F58&gt;200,"Large Order","Standard Order")</x:f>
        <x:v>Standard Order</x:v>
      </x:c>
    </x:row>
    <x:row r="59">
      <x:c r="A59" t="str">
        <x:v>Brien Boise</x:v>
      </x:c>
      <x:c r="B59" t="str">
        <x:v>Canada</x:v>
      </x:c>
      <x:c r="C59" t="str">
        <x:v>99% Dark &amp; Pure</x:v>
      </x:c>
      <x:c r="D59" s="14" t="n">
        <x:v>44699</x:v>
      </x:c>
      <x:c r="E59" s="16" t="n">
        <x:v>16793</x:v>
      </x:c>
      <x:c r="F59" s="18" t="n">
        <x:v>416</x:v>
      </x:c>
      <x:c r="G59" s="20" t="n">
        <x:f>IFERROR(E59/F59,0)</x:f>
        <x:v>40.36778846153846</x:v>
      </x:c>
      <x:c r="H59" t="str">
        <x:f>TEXT(D59,"mmm")</x:f>
        <x:v>May</x:v>
      </x:c>
      <x:c r="I59" s="22" t="n">
        <x:f>MONTH(D59)</x:f>
        <x:v>5</x:v>
      </x:c>
      <x:c r="J59" s="22" t="n">
        <x:f>YEAR(D59)</x:f>
        <x:v>2022</x:v>
      </x:c>
      <x:c r="K59" t="str">
        <x:f>IF(F59&gt;200,"Large Order","Standard Order")</x:f>
        <x:v>Large Order</x:v>
      </x:c>
    </x:row>
    <x:row r="60">
      <x:c r="A60" t="str">
        <x:v>Barr Faughny</x:v>
      </x:c>
      <x:c r="B60" t="str">
        <x:v>Australia</x:v>
      </x:c>
      <x:c r="C60" t="str">
        <x:v>Fruit &amp; Nut Bars</x:v>
      </x:c>
      <x:c r="D60" s="14" t="n">
        <x:v>44742</x:v>
      </x:c>
      <x:c r="E60" s="16" t="n">
        <x:v>15421</x:v>
      </x:c>
      <x:c r="F60" s="18" t="n">
        <x:v>55</x:v>
      </x:c>
      <x:c r="G60" s="20" t="n">
        <x:f>IFERROR(E60/F60,0)</x:f>
        <x:v>280.3818181818182</x:v>
      </x:c>
      <x:c r="H60" t="str">
        <x:f>TEXT(D60,"mmm")</x:f>
        <x:v>Jun</x:v>
      </x:c>
      <x:c r="I60" s="22" t="n">
        <x:f>MONTH(D60)</x:f>
        <x:v>6</x:v>
      </x:c>
      <x:c r="J60" s="22" t="n">
        <x:f>YEAR(D60)</x:f>
        <x:v>2022</x:v>
      </x:c>
      <x:c r="K60" t="str">
        <x:f>IF(F60&gt;200,"Large Order","Standard Order")</x:f>
        <x:v>Standard Order</x:v>
      </x:c>
    </x:row>
    <x:row r="61">
      <x:c r="A61" t="str">
        <x:v>Andria Kimpton</x:v>
      </x:c>
      <x:c r="B61" t="str">
        <x:v>Australia</x:v>
      </x:c>
      <x:c r="C61" t="str">
        <x:v>50% Dark Bites</x:v>
      </x:c>
      <x:c r="D61" s="14" t="n">
        <x:v>44714</x:v>
      </x:c>
      <x:c r="E61" s="16" t="n">
        <x:v>4438</x:v>
      </x:c>
      <x:c r="F61" s="18" t="n">
        <x:v>227</x:v>
      </x:c>
      <x:c r="G61" s="20" t="n">
        <x:f>IFERROR(E61/F61,0)</x:f>
        <x:v>19.550660792951543</x:v>
      </x:c>
      <x:c r="H61" t="str">
        <x:f>TEXT(D61,"mmm")</x:f>
        <x:v>Jun</x:v>
      </x:c>
      <x:c r="I61" s="22" t="n">
        <x:f>MONTH(D61)</x:f>
        <x:v>6</x:v>
      </x:c>
      <x:c r="J61" s="22" t="n">
        <x:f>YEAR(D61)</x:f>
        <x:v>2022</x:v>
      </x:c>
      <x:c r="K61" t="str">
        <x:f>IF(F61&gt;200,"Large Order","Standard Order")</x:f>
        <x:v>Large Order</x:v>
      </x:c>
    </x:row>
    <x:row r="62">
      <x:c r="A62" t="str">
        <x:v>Andria Kimpton</x:v>
      </x:c>
      <x:c r="B62" t="str">
        <x:v>Australia</x:v>
      </x:c>
      <x:c r="C62" t="str">
        <x:v>Drinking Coco</x:v>
      </x:c>
      <x:c r="D62" s="14" t="n">
        <x:v>44740</x:v>
      </x:c>
      <x:c r="E62" s="16" t="n">
        <x:v>1603</x:v>
      </x:c>
      <x:c r="F62" s="18" t="n">
        <x:v>48</x:v>
      </x:c>
      <x:c r="G62" s="20" t="n">
        <x:f>IFERROR(E62/F62,0)</x:f>
        <x:v>33.395833333333336</x:v>
      </x:c>
      <x:c r="H62" t="str">
        <x:f>TEXT(D62,"mmm")</x:f>
        <x:v>Jun</x:v>
      </x:c>
      <x:c r="I62" s="22" t="n">
        <x:f>MONTH(D62)</x:f>
        <x:v>6</x:v>
      </x:c>
      <x:c r="J62" s="22" t="n">
        <x:f>YEAR(D62)</x:f>
        <x:v>2022</x:v>
      </x:c>
      <x:c r="K62" t="str">
        <x:f>IF(F62&gt;200,"Large Order","Standard Order")</x:f>
        <x:v>Standard Order</x:v>
      </x:c>
    </x:row>
    <x:row r="63">
      <x:c r="A63" t="str">
        <x:v>Marney O'Breen</x:v>
      </x:c>
      <x:c r="B63" t="str">
        <x:v>Australia</x:v>
      </x:c>
      <x:c r="C63" t="str">
        <x:v>Organic Choco Syrup</x:v>
      </x:c>
      <x:c r="D63" s="14" t="n">
        <x:v>44697</x:v>
      </x:c>
      <x:c r="E63" s="16" t="n">
        <x:v>273</x:v>
      </x:c>
      <x:c r="F63" s="18" t="n">
        <x:v>174</x:v>
      </x:c>
      <x:c r="G63" s="20" t="n">
        <x:f>IFERROR(E63/F63,0)</x:f>
        <x:v>1.5689655172413792</x:v>
      </x:c>
      <x:c r="H63" t="str">
        <x:f>TEXT(D63,"mmm")</x:f>
        <x:v>May</x:v>
      </x:c>
      <x:c r="I63" s="22" t="n">
        <x:f>MONTH(D63)</x:f>
        <x:v>5</x:v>
      </x:c>
      <x:c r="J63" s="22" t="n">
        <x:f>YEAR(D63)</x:f>
        <x:v>2022</x:v>
      </x:c>
      <x:c r="K63" t="str">
        <x:f>IF(F63&gt;200,"Large Order","Standard Order")</x:f>
        <x:v>Standard Order</x:v>
      </x:c>
    </x:row>
    <x:row r="64">
      <x:c r="A64" t="str">
        <x:v>Kelci Walkden</x:v>
      </x:c>
      <x:c r="B64" t="str">
        <x:v>Canada</x:v>
      </x:c>
      <x:c r="C64" t="str">
        <x:v>Baker's Choco Chips</x:v>
      </x:c>
      <x:c r="D64" s="14" t="n">
        <x:v>44707</x:v>
      </x:c>
      <x:c r="E64" s="16" t="n">
        <x:v>3073</x:v>
      </x:c>
      <x:c r="F64" s="18" t="n">
        <x:v>302</x:v>
      </x:c>
      <x:c r="G64" s="20" t="n">
        <x:f>IFERROR(E64/F64,0)</x:f>
        <x:v>10.175496688741722</x:v>
      </x:c>
      <x:c r="H64" t="str">
        <x:f>TEXT(D64,"mmm")</x:f>
        <x:v>May</x:v>
      </x:c>
      <x:c r="I64" s="22" t="n">
        <x:f>MONTH(D64)</x:f>
        <x:v>5</x:v>
      </x:c>
      <x:c r="J64" s="22" t="n">
        <x:f>YEAR(D64)</x:f>
        <x:v>2022</x:v>
      </x:c>
      <x:c r="K64" t="str">
        <x:f>IF(F64&gt;200,"Large Order","Standard Order")</x:f>
        <x:v>Large Order</x:v>
      </x:c>
    </x:row>
    <x:row r="65">
      <x:c r="A65" t="str">
        <x:v>Karlen McCaffrey</x:v>
      </x:c>
      <x:c r="B65" t="str">
        <x:v>India</x:v>
      </x:c>
      <x:c r="C65" t="str">
        <x:v>Almond Choco</x:v>
      </x:c>
      <x:c r="D65" s="14" t="n">
        <x:v>44748</x:v>
      </x:c>
      <x:c r="E65" s="16" t="n">
        <x:v>6090</x:v>
      </x:c>
      <x:c r="F65" s="18" t="n">
        <x:v>149</x:v>
      </x:c>
      <x:c r="G65" s="20" t="n">
        <x:f>IFERROR(E65/F65,0)</x:f>
        <x:v>40.87248322147651</x:v>
      </x:c>
      <x:c r="H65" t="str">
        <x:f>TEXT(D65,"mmm")</x:f>
        <x:v>Jul</x:v>
      </x:c>
      <x:c r="I65" s="22" t="n">
        <x:f>MONTH(D65)</x:f>
        <x:v>7</x:v>
      </x:c>
      <x:c r="J65" s="22" t="n">
        <x:f>YEAR(D65)</x:f>
        <x:v>2022</x:v>
      </x:c>
      <x:c r="K65" t="str">
        <x:f>IF(F65&gt;200,"Large Order","Standard Order")</x:f>
        <x:v>Standard Order</x:v>
      </x:c>
    </x:row>
    <x:row r="66">
      <x:c r="A66" t="str">
        <x:v>Oby Sorrel</x:v>
      </x:c>
      <x:c r="B66" t="str">
        <x:v>India</x:v>
      </x:c>
      <x:c r="C66" t="str">
        <x:v>99% Dark &amp; Pure</x:v>
      </x:c>
      <x:c r="D66" s="14" t="n">
        <x:v>44708</x:v>
      </x:c>
      <x:c r="E66" s="16" t="n">
        <x:v>10255</x:v>
      </x:c>
      <x:c r="F66" s="18" t="n">
        <x:v>11</x:v>
      </x:c>
      <x:c r="G66" s="20" t="n">
        <x:f>IFERROR(E66/F66,0)</x:f>
        <x:v>932.2727272727273</x:v>
      </x:c>
      <x:c r="H66" t="str">
        <x:f>TEXT(D66,"mmm")</x:f>
        <x:v>May</x:v>
      </x:c>
      <x:c r="I66" s="22" t="n">
        <x:f>MONTH(D66)</x:f>
        <x:v>5</x:v>
      </x:c>
      <x:c r="J66" s="22" t="n">
        <x:f>YEAR(D66)</x:f>
        <x:v>2022</x:v>
      </x:c>
      <x:c r="K66" t="str">
        <x:f>IF(F66&gt;200,"Large Order","Standard Order")</x:f>
        <x:v>Standard Order</x:v>
      </x:c>
    </x:row>
    <x:row r="67">
      <x:c r="A67" t="str">
        <x:v>Wilone O'Kielt</x:v>
      </x:c>
      <x:c r="B67" t="str">
        <x:v>Australia</x:v>
      </x:c>
      <x:c r="C67" t="str">
        <x:v>Caramel Stuffed Bars</x:v>
      </x:c>
      <x:c r="D67" s="14" t="n">
        <x:v>44665</x:v>
      </x:c>
      <x:c r="E67" s="16" t="n">
        <x:v>2030</x:v>
      </x:c>
      <x:c r="F67" s="18" t="n">
        <x:v>11</x:v>
      </x:c>
      <x:c r="G67" s="20" t="n">
        <x:f>IFERROR(E67/F67,0)</x:f>
        <x:v>184.54545454545453</x:v>
      </x:c>
      <x:c r="H67" t="str">
        <x:f>TEXT(D67,"mmm")</x:f>
        <x:v>Apr</x:v>
      </x:c>
      <x:c r="I67" s="22" t="n">
        <x:f>MONTH(D67)</x:f>
        <x:v>4</x:v>
      </x:c>
      <x:c r="J67" s="22" t="n">
        <x:f>YEAR(D67)</x:f>
        <x:v>2022</x:v>
      </x:c>
      <x:c r="K67" t="str">
        <x:f>IF(F67&gt;200,"Large Order","Standard Order")</x:f>
        <x:v>Standard Order</x:v>
      </x:c>
    </x:row>
    <x:row r="68">
      <x:c r="A68" t="str">
        <x:v>Van Tuxwell</x:v>
      </x:c>
      <x:c r="B68" t="str">
        <x:v>Australia</x:v>
      </x:c>
      <x:c r="C68" t="str">
        <x:v>Organic Choco Syrup</x:v>
      </x:c>
      <x:c r="D68" s="14" t="n">
        <x:v>44783</x:v>
      </x:c>
      <x:c r="E68" s="16" t="n">
        <x:v>19453</x:v>
      </x:c>
      <x:c r="F68" s="18" t="n">
        <x:v>14</x:v>
      </x:c>
      <x:c r="G68" s="20" t="n">
        <x:f>IFERROR(E68/F68,0)</x:f>
        <x:v>1389.5</x:v>
      </x:c>
      <x:c r="H68" t="str">
        <x:f>TEXT(D68,"mmm")</x:f>
        <x:v>Aug</x:v>
      </x:c>
      <x:c r="I68" s="22" t="n">
        <x:f>MONTH(D68)</x:f>
        <x:v>8</x:v>
      </x:c>
      <x:c r="J68" s="22" t="n">
        <x:f>YEAR(D68)</x:f>
        <x:v>2022</x:v>
      </x:c>
      <x:c r="K68" t="str">
        <x:f>IF(F68&gt;200,"Large Order","Standard Order")</x:f>
        <x:v>Standard Order</x:v>
      </x:c>
    </x:row>
    <x:row r="69">
      <x:c r="A69" t="str">
        <x:v>Camilla Castle</x:v>
      </x:c>
      <x:c r="B69" t="str">
        <x:v>India</x:v>
      </x:c>
      <x:c r="C69" t="str">
        <x:v>50% Dark Bites</x:v>
      </x:c>
      <x:c r="D69" s="14" t="n">
        <x:v>44746</x:v>
      </x:c>
      <x:c r="E69" s="16" t="n">
        <x:v>9275</x:v>
      </x:c>
      <x:c r="F69" s="18" t="n">
        <x:v>411</x:v>
      </x:c>
      <x:c r="G69" s="20" t="n">
        <x:f>IFERROR(E69/F69,0)</x:f>
        <x:v>22.5669099756691</x:v>
      </x:c>
      <x:c r="H69" t="str">
        <x:f>TEXT(D69,"mmm")</x:f>
        <x:v>Jul</x:v>
      </x:c>
      <x:c r="I69" s="22" t="n">
        <x:f>MONTH(D69)</x:f>
        <x:v>7</x:v>
      </x:c>
      <x:c r="J69" s="22" t="n">
        <x:f>YEAR(D69)</x:f>
        <x:v>2022</x:v>
      </x:c>
      <x:c r="K69" t="str">
        <x:f>IF(F69&gt;200,"Large Order","Standard Order")</x:f>
        <x:v>Large Order</x:v>
      </x:c>
    </x:row>
    <x:row r="70">
      <x:c r="A70" t="str">
        <x:v>Oby Sorrel</x:v>
      </x:c>
      <x:c r="B70" t="str">
        <x:v>India</x:v>
      </x:c>
      <x:c r="C70" t="str">
        <x:v>Organic Choco Syrup</x:v>
      </x:c>
      <x:c r="D70" s="14" t="n">
        <x:v>44750</x:v>
      </x:c>
      <x:c r="E70" s="16" t="n">
        <x:v>6181</x:v>
      </x:c>
      <x:c r="F70" s="18" t="n">
        <x:v>56</x:v>
      </x:c>
      <x:c r="G70" s="20" t="n">
        <x:f>IFERROR(E70/F70,0)</x:f>
        <x:v>110.375</x:v>
      </x:c>
      <x:c r="H70" t="str">
        <x:f>TEXT(D70,"mmm")</x:f>
        <x:v>Jul</x:v>
      </x:c>
      <x:c r="I70" s="22" t="n">
        <x:f>MONTH(D70)</x:f>
        <x:v>7</x:v>
      </x:c>
      <x:c r="J70" s="22" t="n">
        <x:f>YEAR(D70)</x:f>
        <x:v>2022</x:v>
      </x:c>
      <x:c r="K70" t="str">
        <x:f>IF(F70&gt;200,"Large Order","Standard Order")</x:f>
        <x:v>Standard Order</x:v>
      </x:c>
    </x:row>
    <x:row r="71">
      <x:c r="A71" t="str">
        <x:v>Jan Morforth</x:v>
      </x:c>
      <x:c r="B71" t="str">
        <x:v>USA</x:v>
      </x:c>
      <x:c r="C71" t="str">
        <x:v>Peanut Butter Cubes</x:v>
      </x:c>
      <x:c r="D71" s="14" t="n">
        <x:v>44764</x:v>
      </x:c>
      <x:c r="E71" s="16" t="n">
        <x:v>9037</x:v>
      </x:c>
      <x:c r="F71" s="18" t="n">
        <x:v>102</x:v>
      </x:c>
      <x:c r="G71" s="20" t="n">
        <x:f>IFERROR(E71/F71,0)</x:f>
        <x:v>88.59803921568627</x:v>
      </x:c>
      <x:c r="H71" t="str">
        <x:f>TEXT(D71,"mmm")</x:f>
        <x:v>Jul</x:v>
      </x:c>
      <x:c r="I71" s="22" t="n">
        <x:f>MONTH(D71)</x:f>
        <x:v>7</x:v>
      </x:c>
      <x:c r="J71" s="22" t="n">
        <x:f>YEAR(D71)</x:f>
        <x:v>2022</x:v>
      </x:c>
      <x:c r="K71" t="str">
        <x:f>IF(F71&gt;200,"Large Order","Standard Order")</x:f>
        <x:v>Standard Order</x:v>
      </x:c>
    </x:row>
    <x:row r="72">
      <x:c r="A72" t="str">
        <x:v>Gigi Bohling</x:v>
      </x:c>
      <x:c r="B72" t="str">
        <x:v>USA</x:v>
      </x:c>
      <x:c r="C72" t="str">
        <x:v>Choco Coated Almonds</x:v>
      </x:c>
      <x:c r="D72" s="14" t="n">
        <x:v>44622</x:v>
      </x:c>
      <x:c r="E72" s="16" t="n">
        <x:v>12313</x:v>
      </x:c>
      <x:c r="F72" s="18" t="n">
        <x:v>103</x:v>
      </x:c>
      <x:c r="G72" s="20" t="n">
        <x:f>IFERROR(E72/F72,0)</x:f>
        <x:v>119.54368932038835</x:v>
      </x:c>
      <x:c r="H72" t="str">
        <x:f>TEXT(D72,"mmm")</x:f>
        <x:v>Mar</x:v>
      </x:c>
      <x:c r="I72" s="22" t="n">
        <x:f>MONTH(D72)</x:f>
        <x:v>3</x:v>
      </x:c>
      <x:c r="J72" s="22" t="n">
        <x:f>YEAR(D72)</x:f>
        <x:v>2022</x:v>
      </x:c>
      <x:c r="K72" t="str">
        <x:f>IF(F72&gt;200,"Large Order","Standard Order")</x:f>
        <x:v>Standard Order</x:v>
      </x:c>
    </x:row>
    <x:row r="73">
      <x:c r="A73" t="str">
        <x:v>Gigi Bohling</x:v>
      </x:c>
      <x:c r="B73" t="str">
        <x:v>UK</x:v>
      </x:c>
      <x:c r="C73" t="str">
        <x:v>Almond Choco</x:v>
      </x:c>
      <x:c r="D73" s="14" t="n">
        <x:v>44571</x:v>
      </x:c>
      <x:c r="E73" s="16" t="n">
        <x:v>5642</x:v>
      </x:c>
      <x:c r="F73" s="18" t="n">
        <x:v>9</x:v>
      </x:c>
      <x:c r="G73" s="20" t="n">
        <x:f>IFERROR(E73/F73,0)</x:f>
        <x:v>626.8888888888889</x:v>
      </x:c>
      <x:c r="H73" t="str">
        <x:f>TEXT(D73,"mmm")</x:f>
        <x:v>Jan</x:v>
      </x:c>
      <x:c r="I73" s="22" t="n">
        <x:f>MONTH(D73)</x:f>
        <x:v>1</x:v>
      </x:c>
      <x:c r="J73" s="22" t="n">
        <x:f>YEAR(D73)</x:f>
        <x:v>2022</x:v>
      </x:c>
      <x:c r="K73" t="str">
        <x:f>IF(F73&gt;200,"Large Order","Standard Order")</x:f>
        <x:v>Standard Order</x:v>
      </x:c>
    </x:row>
    <x:row r="74">
      <x:c r="A74" t="str">
        <x:v>Jehu Rudeforth</x:v>
      </x:c>
      <x:c r="B74" t="str">
        <x:v>New Zealand</x:v>
      </x:c>
      <x:c r="C74" t="str">
        <x:v>White Choc</x:v>
      </x:c>
      <x:c r="D74" s="14" t="n">
        <x:v>44631</x:v>
      </x:c>
      <x:c r="E74" s="16" t="n">
        <x:v>2800</x:v>
      </x:c>
      <x:c r="F74" s="18" t="n">
        <x:v>241</x:v>
      </x:c>
      <x:c r="G74" s="20" t="n">
        <x:f>IFERROR(E74/F74,0)</x:f>
        <x:v>11.618257261410788</x:v>
      </x:c>
      <x:c r="H74" t="str">
        <x:f>TEXT(D74,"mmm")</x:f>
        <x:v>Mar</x:v>
      </x:c>
      <x:c r="I74" s="22" t="n">
        <x:f>MONTH(D74)</x:f>
        <x:v>3</x:v>
      </x:c>
      <x:c r="J74" s="22" t="n">
        <x:f>YEAR(D74)</x:f>
        <x:v>2022</x:v>
      </x:c>
      <x:c r="K74" t="str">
        <x:f>IF(F74&gt;200,"Large Order","Standard Order")</x:f>
        <x:v>Large Order</x:v>
      </x:c>
    </x:row>
    <x:row r="75">
      <x:c r="A75" t="str">
        <x:v>Andria Kimpton</x:v>
      </x:c>
      <x:c r="B75" t="str">
        <x:v>New Zealand</x:v>
      </x:c>
      <x:c r="C75" t="str">
        <x:v>Peanut Butter Cubes</x:v>
      </x:c>
      <x:c r="D75" s="14" t="n">
        <x:v>44732</x:v>
      </x:c>
      <x:c r="E75" s="16" t="n">
        <x:v>959</x:v>
      </x:c>
      <x:c r="F75" s="18" t="n">
        <x:v>265</x:v>
      </x:c>
      <x:c r="G75" s="20" t="n">
        <x:f>IFERROR(E75/F75,0)</x:f>
        <x:v>3.6188679245283017</x:v>
      </x:c>
      <x:c r="H75" t="str">
        <x:f>TEXT(D75,"mmm")</x:f>
        <x:v>Jun</x:v>
      </x:c>
      <x:c r="I75" s="22" t="n">
        <x:f>MONTH(D75)</x:f>
        <x:v>6</x:v>
      </x:c>
      <x:c r="J75" s="22" t="n">
        <x:f>YEAR(D75)</x:f>
        <x:v>2022</x:v>
      </x:c>
      <x:c r="K75" t="str">
        <x:f>IF(F75&gt;200,"Large Order","Standard Order")</x:f>
        <x:v>Large Order</x:v>
      </x:c>
    </x:row>
    <x:row r="76">
      <x:c r="A76" t="str">
        <x:v>Van Tuxwell</x:v>
      </x:c>
      <x:c r="B76" t="str">
        <x:v>UK</x:v>
      </x:c>
      <x:c r="C76" t="str">
        <x:v>Organic Choco Syrup</x:v>
      </x:c>
      <x:c r="D76" s="14" t="n">
        <x:v>44799</x:v>
      </x:c>
      <x:c r="E76" s="16" t="n">
        <x:v>2002</x:v>
      </x:c>
      <x:c r="F76" s="18" t="n">
        <x:v>214</x:v>
      </x:c>
      <x:c r="G76" s="20" t="n">
        <x:f>IFERROR(E76/F76,0)</x:f>
        <x:v>9.355140186915888</x:v>
      </x:c>
      <x:c r="H76" t="str">
        <x:f>TEXT(D76,"mmm")</x:f>
        <x:v>Aug</x:v>
      </x:c>
      <x:c r="I76" s="22" t="n">
        <x:f>MONTH(D76)</x:f>
        <x:v>8</x:v>
      </x:c>
      <x:c r="J76" s="22" t="n">
        <x:f>YEAR(D76)</x:f>
        <x:v>2022</x:v>
      </x:c>
      <x:c r="K76" t="str">
        <x:f>IF(F76&gt;200,"Large Order","Standard Order")</x:f>
        <x:v>Large Order</x:v>
      </x:c>
    </x:row>
    <x:row r="77">
      <x:c r="A77" t="str">
        <x:v>Roddy Speechley</x:v>
      </x:c>
      <x:c r="B77" t="str">
        <x:v>Canada</x:v>
      </x:c>
      <x:c r="C77" t="str">
        <x:v>Milk Bars</x:v>
      </x:c>
      <x:c r="D77" s="14" t="n">
        <x:v>44755</x:v>
      </x:c>
      <x:c r="E77" s="16" t="n">
        <x:v>609</x:v>
      </x:c>
      <x:c r="F77" s="18" t="n">
        <x:v>32</x:v>
      </x:c>
      <x:c r="G77" s="20" t="n">
        <x:f>IFERROR(E77/F77,0)</x:f>
        <x:v>19.03125</x:v>
      </x:c>
      <x:c r="H77" t="str">
        <x:f>TEXT(D77,"mmm")</x:f>
        <x:v>Jul</x:v>
      </x:c>
      <x:c r="I77" s="22" t="n">
        <x:f>MONTH(D77)</x:f>
        <x:v>7</x:v>
      </x:c>
      <x:c r="J77" s="22" t="n">
        <x:f>YEAR(D77)</x:f>
        <x:v>2022</x:v>
      </x:c>
      <x:c r="K77" t="str">
        <x:f>IF(F77&gt;200,"Large Order","Standard Order")</x:f>
        <x:v>Standard Order</x:v>
      </x:c>
    </x:row>
    <x:row r="78">
      <x:c r="A78" t="str">
        <x:v>Camilla Castle</x:v>
      </x:c>
      <x:c r="B78" t="str">
        <x:v>USA</x:v>
      </x:c>
      <x:c r="C78" t="str">
        <x:v>Spicy Special Slims</x:v>
      </x:c>
      <x:c r="D78" s="14" t="n">
        <x:v>44603</x:v>
      </x:c>
      <x:c r="E78" s="16" t="n">
        <x:v>1274</x:v>
      </x:c>
      <x:c r="F78" s="18" t="n">
        <x:v>244</x:v>
      </x:c>
      <x:c r="G78" s="20" t="n">
        <x:f>IFERROR(E78/F78,0)</x:f>
        <x:v>5.221311475409836</x:v>
      </x:c>
      <x:c r="H78" t="str">
        <x:f>TEXT(D78,"mmm")</x:f>
        <x:v>Feb</x:v>
      </x:c>
      <x:c r="I78" s="22" t="n">
        <x:f>MONTH(D78)</x:f>
        <x:v>2</x:v>
      </x:c>
      <x:c r="J78" s="22" t="n">
        <x:f>YEAR(D78)</x:f>
        <x:v>2022</x:v>
      </x:c>
      <x:c r="K78" t="str">
        <x:f>IF(F78&gt;200,"Large Order","Standard Order")</x:f>
        <x:v>Large Order</x:v>
      </x:c>
    </x:row>
    <x:row r="79">
      <x:c r="A79" t="str">
        <x:v>Marney O'Breen</x:v>
      </x:c>
      <x:c r="B79" t="str">
        <x:v>USA</x:v>
      </x:c>
      <x:c r="C79" t="str">
        <x:v>Orange Choco</x:v>
      </x:c>
      <x:c r="D79" s="14" t="n">
        <x:v>44588</x:v>
      </x:c>
      <x:c r="E79" s="16" t="n">
        <x:v>7595</x:v>
      </x:c>
      <x:c r="F79" s="18" t="n">
        <x:v>181</x:v>
      </x:c>
      <x:c r="G79" s="20" t="n">
        <x:f>IFERROR(E79/F79,0)</x:f>
        <x:v>41.96132596685083</x:v>
      </x:c>
      <x:c r="H79" t="str">
        <x:f>TEXT(D79,"mmm")</x:f>
        <x:v>Jan</x:v>
      </x:c>
      <x:c r="I79" s="22" t="n">
        <x:f>MONTH(D79)</x:f>
        <x:v>1</x:v>
      </x:c>
      <x:c r="J79" s="22" t="n">
        <x:f>YEAR(D79)</x:f>
        <x:v>2022</x:v>
      </x:c>
      <x:c r="K79" t="str">
        <x:f>IF(F79&gt;200,"Large Order","Standard Order")</x:f>
        <x:v>Standard Order</x:v>
      </x:c>
    </x:row>
    <x:row r="80">
      <x:c r="A80" t="str">
        <x:v>Van Tuxwell</x:v>
      </x:c>
      <x:c r="B80" t="str">
        <x:v>UK</x:v>
      </x:c>
      <x:c r="C80" t="str">
        <x:v>99% Dark &amp; Pure</x:v>
      </x:c>
      <x:c r="D80" s="14" t="n">
        <x:v>44592</x:v>
      </x:c>
      <x:c r="E80" s="16" t="n">
        <x:v>4725</x:v>
      </x:c>
      <x:c r="F80" s="18" t="n">
        <x:v>137</x:v>
      </x:c>
      <x:c r="G80" s="20" t="n">
        <x:f>IFERROR(E80/F80,0)</x:f>
        <x:v>34.48905109489051</x:v>
      </x:c>
      <x:c r="H80" t="str">
        <x:f>TEXT(D80,"mmm")</x:f>
        <x:v>Jan</x:v>
      </x:c>
      <x:c r="I80" s="22" t="n">
        <x:f>MONTH(D80)</x:f>
        <x:v>1</x:v>
      </x:c>
      <x:c r="J80" s="22" t="n">
        <x:f>YEAR(D80)</x:f>
        <x:v>2022</x:v>
      </x:c>
      <x:c r="K80" t="str">
        <x:f>IF(F80&gt;200,"Large Order","Standard Order")</x:f>
        <x:v>Standard Order</x:v>
      </x:c>
    </x:row>
    <x:row r="81">
      <x:c r="A81" t="str">
        <x:v>Camilla Castle</x:v>
      </x:c>
      <x:c r="B81" t="str">
        <x:v>USA</x:v>
      </x:c>
      <x:c r="C81" t="str">
        <x:v>White Choc</x:v>
      </x:c>
      <x:c r="D81" s="14" t="n">
        <x:v>44791</x:v>
      </x:c>
      <x:c r="E81" s="16" t="n">
        <x:v>9681</x:v>
      </x:c>
      <x:c r="F81" s="18" t="n">
        <x:v>24</x:v>
      </x:c>
      <x:c r="G81" s="20" t="n">
        <x:f>IFERROR(E81/F81,0)</x:f>
        <x:v>403.375</x:v>
      </x:c>
      <x:c r="H81" t="str">
        <x:f>TEXT(D81,"mmm")</x:f>
        <x:v>Aug</x:v>
      </x:c>
      <x:c r="I81" s="22" t="n">
        <x:f>MONTH(D81)</x:f>
        <x:v>8</x:v>
      </x:c>
      <x:c r="J81" s="22" t="n">
        <x:f>YEAR(D81)</x:f>
        <x:v>2022</x:v>
      </x:c>
      <x:c r="K81" t="str">
        <x:f>IF(F81&gt;200,"Large Order","Standard Order")</x:f>
        <x:v>Standard Order</x:v>
      </x:c>
    </x:row>
    <x:row r="82">
      <x:c r="A82" t="str">
        <x:v>Andria Kimpton</x:v>
      </x:c>
      <x:c r="B82" t="str">
        <x:v>USA</x:v>
      </x:c>
      <x:c r="C82" t="str">
        <x:v>Raspberry Choco</x:v>
      </x:c>
      <x:c r="D82" s="14" t="n">
        <x:v>44742</x:v>
      </x:c>
      <x:c r="E82" s="16" t="n">
        <x:v>14504</x:v>
      </x:c>
      <x:c r="F82" s="18" t="n">
        <x:v>21</x:v>
      </x:c>
      <x:c r="G82" s="20" t="n">
        <x:f>IFERROR(E82/F82,0)</x:f>
        <x:v>690.6666666666666</x:v>
      </x:c>
      <x:c r="H82" t="str">
        <x:f>TEXT(D82,"mmm")</x:f>
        <x:v>Jun</x:v>
      </x:c>
      <x:c r="I82" s="22" t="n">
        <x:f>MONTH(D82)</x:f>
        <x:v>6</x:v>
      </x:c>
      <x:c r="J82" s="22" t="n">
        <x:f>YEAR(D82)</x:f>
        <x:v>2022</x:v>
      </x:c>
      <x:c r="K82" t="str">
        <x:f>IF(F82&gt;200,"Large Order","Standard Order")</x:f>
        <x:v>Standard Order</x:v>
      </x:c>
    </x:row>
    <x:row r="83">
      <x:c r="A83" t="str">
        <x:v>Dotty Strutley</x:v>
      </x:c>
      <x:c r="B83" t="str">
        <x:v>Australia</x:v>
      </x:c>
      <x:c r="C83" t="str">
        <x:v>Fruit &amp; Nut Bars</x:v>
      </x:c>
      <x:c r="D83" s="14" t="n">
        <x:v>44796</x:v>
      </x:c>
      <x:c r="E83" s="16" t="n">
        <x:v>280</x:v>
      </x:c>
      <x:c r="F83" s="18" t="n">
        <x:v>311</x:v>
      </x:c>
      <x:c r="G83" s="20" t="n">
        <x:f>IFERROR(E83/F83,0)</x:f>
        <x:v>0.9003215434083601</x:v>
      </x:c>
      <x:c r="H83" t="str">
        <x:f>TEXT(D83,"mmm")</x:f>
        <x:v>Aug</x:v>
      </x:c>
      <x:c r="I83" s="22" t="n">
        <x:f>MONTH(D83)</x:f>
        <x:v>8</x:v>
      </x:c>
      <x:c r="J83" s="22" t="n">
        <x:f>YEAR(D83)</x:f>
        <x:v>2022</x:v>
      </x:c>
      <x:c r="K83" t="str">
        <x:f>IF(F83&gt;200,"Large Order","Standard Order")</x:f>
        <x:v>Large Order</x:v>
      </x:c>
    </x:row>
    <x:row r="84">
      <x:c r="A84" t="str">
        <x:v>Brien Boise</x:v>
      </x:c>
      <x:c r="B84" t="str">
        <x:v>New Zealand</x:v>
      </x:c>
      <x:c r="C84" t="str">
        <x:v>Mint Chip Choco</x:v>
      </x:c>
      <x:c r="D84" s="14" t="n">
        <x:v>44774</x:v>
      </x:c>
      <x:c r="E84" s="16" t="n">
        <x:v>63</x:v>
      </x:c>
      <x:c r="F84" s="18" t="n">
        <x:v>181</x:v>
      </x:c>
      <x:c r="G84" s="20" t="n">
        <x:f>IFERROR(E84/F84,0)</x:f>
        <x:v>0.34806629834254144</x:v>
      </x:c>
      <x:c r="H84" t="str">
        <x:f>TEXT(D84,"mmm")</x:f>
        <x:v>Aug</x:v>
      </x:c>
      <x:c r="I84" s="22" t="n">
        <x:f>MONTH(D84)</x:f>
        <x:v>8</x:v>
      </x:c>
      <x:c r="J84" s="22" t="n">
        <x:f>YEAR(D84)</x:f>
        <x:v>2022</x:v>
      </x:c>
      <x:c r="K84" t="str">
        <x:f>IF(F84&gt;200,"Large Order","Standard Order")</x:f>
        <x:v>Standard Order</x:v>
      </x:c>
    </x:row>
    <x:row r="85">
      <x:c r="A85" t="str">
        <x:v>Roddy Speechley</x:v>
      </x:c>
      <x:c r="B85" t="str">
        <x:v>New Zealand</x:v>
      </x:c>
      <x:c r="C85" t="str">
        <x:v>After Nines</x:v>
      </x:c>
      <x:c r="D85" s="14" t="n">
        <x:v>44706</x:v>
      </x:c>
      <x:c r="E85" s="16" t="n">
        <x:v>8001</x:v>
      </x:c>
      <x:c r="F85" s="18" t="n">
        <x:v>10</x:v>
      </x:c>
      <x:c r="G85" s="20" t="n">
        <x:f>IFERROR(E85/F85,0)</x:f>
        <x:v>800.1</x:v>
      </x:c>
      <x:c r="H85" t="str">
        <x:f>TEXT(D85,"mmm")</x:f>
        <x:v>May</x:v>
      </x:c>
      <x:c r="I85" s="22" t="n">
        <x:f>MONTH(D85)</x:f>
        <x:v>5</x:v>
      </x:c>
      <x:c r="J85" s="22" t="n">
        <x:f>YEAR(D85)</x:f>
        <x:v>2022</x:v>
      </x:c>
      <x:c r="K85" t="str">
        <x:f>IF(F85&gt;200,"Large Order","Standard Order")</x:f>
        <x:v>Standard Order</x:v>
      </x:c>
    </x:row>
    <x:row r="86">
      <x:c r="A86" t="str">
        <x:v>Roddy Speechley</x:v>
      </x:c>
      <x:c r="B86" t="str">
        <x:v>Canada</x:v>
      </x:c>
      <x:c r="C86" t="str">
        <x:v>Organic Choco Syrup</x:v>
      </x:c>
      <x:c r="D86" s="14" t="n">
        <x:v>44571</x:v>
      </x:c>
      <x:c r="E86" s="16" t="n">
        <x:v>4032</x:v>
      </x:c>
      <x:c r="F86" s="18" t="n">
        <x:v>82</x:v>
      </x:c>
      <x:c r="G86" s="20" t="n">
        <x:f>IFERROR(E86/F86,0)</x:f>
        <x:v>49.170731707317074</x:v>
      </x:c>
      <x:c r="H86" t="str">
        <x:f>TEXT(D86,"mmm")</x:f>
        <x:v>Jan</x:v>
      </x:c>
      <x:c r="I86" s="22" t="n">
        <x:f>MONTH(D86)</x:f>
        <x:v>1</x:v>
      </x:c>
      <x:c r="J86" s="22" t="n">
        <x:f>YEAR(D86)</x:f>
        <x:v>2022</x:v>
      </x:c>
      <x:c r="K86" t="str">
        <x:f>IF(F86&gt;200,"Large Order","Standard Order")</x:f>
        <x:v>Standard Order</x:v>
      </x:c>
    </x:row>
    <x:row r="87">
      <x:c r="A87" t="str">
        <x:v>Dennison Crosswaite</x:v>
      </x:c>
      <x:c r="B87" t="str">
        <x:v>Australia</x:v>
      </x:c>
      <x:c r="C87" t="str">
        <x:v>70% Dark Bites</x:v>
      </x:c>
      <x:c r="D87" s="14" t="n">
        <x:v>44599</x:v>
      </x:c>
      <x:c r="E87" s="16" t="n">
        <x:v>5859</x:v>
      </x:c>
      <x:c r="F87" s="18" t="n">
        <x:v>108</x:v>
      </x:c>
      <x:c r="G87" s="20" t="n">
        <x:f>IFERROR(E87/F87,0)</x:f>
        <x:v>54.25</x:v>
      </x:c>
      <x:c r="H87" t="str">
        <x:f>TEXT(D87,"mmm")</x:f>
        <x:v>Feb</x:v>
      </x:c>
      <x:c r="I87" s="22" t="n">
        <x:f>MONTH(D87)</x:f>
        <x:v>2</x:v>
      </x:c>
      <x:c r="J87" s="22" t="n">
        <x:f>YEAR(D87)</x:f>
        <x:v>2022</x:v>
      </x:c>
      <x:c r="K87" t="str">
        <x:f>IF(F87&gt;200,"Large Order","Standard Order")</x:f>
        <x:v>Standard Order</x:v>
      </x:c>
    </x:row>
    <x:row r="88">
      <x:c r="A88" t="str">
        <x:v>Karlen McCaffrey</x:v>
      </x:c>
      <x:c r="B88" t="str">
        <x:v>USA</x:v>
      </x:c>
      <x:c r="C88" t="str">
        <x:v>Orange Choco</x:v>
      </x:c>
      <x:c r="D88" s="14" t="n">
        <x:v>44693</x:v>
      </x:c>
      <x:c r="E88" s="16" t="n">
        <x:v>11095</x:v>
      </x:c>
      <x:c r="F88" s="18" t="n">
        <x:v>401</x:v>
      </x:c>
      <x:c r="G88" s="20" t="n">
        <x:f>IFERROR(E88/F88,0)</x:f>
        <x:v>27.668329177057355</x:v>
      </x:c>
      <x:c r="H88" t="str">
        <x:f>TEXT(D88,"mmm")</x:f>
        <x:v>May</x:v>
      </x:c>
      <x:c r="I88" s="22" t="n">
        <x:f>MONTH(D88)</x:f>
        <x:v>5</x:v>
      </x:c>
      <x:c r="J88" s="22" t="n">
        <x:f>YEAR(D88)</x:f>
        <x:v>2022</x:v>
      </x:c>
      <x:c r="K88" t="str">
        <x:f>IF(F88&gt;200,"Large Order","Standard Order")</x:f>
        <x:v>Large Order</x:v>
      </x:c>
    </x:row>
    <x:row r="89">
      <x:c r="A89" t="str">
        <x:v>Madelene Upcott</x:v>
      </x:c>
      <x:c r="B89" t="str">
        <x:v>Australia</x:v>
      </x:c>
      <x:c r="C89" t="str">
        <x:v>Spicy Special Slims</x:v>
      </x:c>
      <x:c r="D89" s="14" t="n">
        <x:v>44627</x:v>
      </x:c>
      <x:c r="E89" s="16" t="n">
        <x:v>7182</x:v>
      </x:c>
      <x:c r="F89" s="18" t="n">
        <x:v>408</x:v>
      </x:c>
      <x:c r="G89" s="20" t="n">
        <x:f>IFERROR(E89/F89,0)</x:f>
        <x:v>17.602941176470587</x:v>
      </x:c>
      <x:c r="H89" t="str">
        <x:f>TEXT(D89,"mmm")</x:f>
        <x:v>Mar</x:v>
      </x:c>
      <x:c r="I89" s="22" t="n">
        <x:f>MONTH(D89)</x:f>
        <x:v>3</x:v>
      </x:c>
      <x:c r="J89" s="22" t="n">
        <x:f>YEAR(D89)</x:f>
        <x:v>2022</x:v>
      </x:c>
      <x:c r="K89" t="str">
        <x:f>IF(F89&gt;200,"Large Order","Standard Order")</x:f>
        <x:v>Large Order</x:v>
      </x:c>
    </x:row>
    <x:row r="90">
      <x:c r="A90" t="str">
        <x:v>Dennison Crosswaite</x:v>
      </x:c>
      <x:c r="B90" t="str">
        <x:v>Australia</x:v>
      </x:c>
      <x:c r="C90" t="str">
        <x:v>85% Dark Bars</x:v>
      </x:c>
      <x:c r="D90" s="14" t="n">
        <x:v>44656</x:v>
      </x:c>
      <x:c r="E90" s="16" t="n">
        <x:v>6881</x:v>
      </x:c>
      <x:c r="F90" s="18" t="n">
        <x:v>420</x:v>
      </x:c>
      <x:c r="G90" s="20" t="n">
        <x:f>IFERROR(E90/F90,0)</x:f>
        <x:v>16.383333333333333</x:v>
      </x:c>
      <x:c r="H90" t="str">
        <x:f>TEXT(D90,"mmm")</x:f>
        <x:v>Apr</x:v>
      </x:c>
      <x:c r="I90" s="22" t="n">
        <x:f>MONTH(D90)</x:f>
        <x:v>4</x:v>
      </x:c>
      <x:c r="J90" s="22" t="n">
        <x:f>YEAR(D90)</x:f>
        <x:v>2022</x:v>
      </x:c>
      <x:c r="K90" t="str">
        <x:f>IF(F90&gt;200,"Large Order","Standard Order")</x:f>
        <x:v>Large Order</x:v>
      </x:c>
    </x:row>
    <x:row r="91">
      <x:c r="A91" t="str">
        <x:v>Andria Kimpton</x:v>
      </x:c>
      <x:c r="B91" t="str">
        <x:v>Canada</x:v>
      </x:c>
      <x:c r="C91" t="str">
        <x:v>Caramel Stuffed Bars</x:v>
      </x:c>
      <x:c r="D91" s="14" t="n">
        <x:v>44564</x:v>
      </x:c>
      <x:c r="E91" s="16" t="n">
        <x:v>7154</x:v>
      </x:c>
      <x:c r="F91" s="18" t="n">
        <x:v>348</x:v>
      </x:c>
      <x:c r="G91" s="20" t="n">
        <x:f>IFERROR(E91/F91,0)</x:f>
        <x:v>20.557471264367816</x:v>
      </x:c>
      <x:c r="H91" t="str">
        <x:f>TEXT(D91,"mmm")</x:f>
        <x:v>Jan</x:v>
      </x:c>
      <x:c r="I91" s="22" t="n">
        <x:f>MONTH(D91)</x:f>
        <x:v>1</x:v>
      </x:c>
      <x:c r="J91" s="22" t="n">
        <x:f>YEAR(D91)</x:f>
        <x:v>2022</x:v>
      </x:c>
      <x:c r="K91" t="str">
        <x:f>IF(F91&gt;200,"Large Order","Standard Order")</x:f>
        <x:v>Large Order</x:v>
      </x:c>
    </x:row>
    <x:row r="92">
      <x:c r="A92" t="str">
        <x:v>Dennison Crosswaite</x:v>
      </x:c>
      <x:c r="B92" t="str">
        <x:v>UK</x:v>
      </x:c>
      <x:c r="C92" t="str">
        <x:v>Eclairs</x:v>
      </x:c>
      <x:c r="D92" s="14" t="n">
        <x:v>44644</x:v>
      </x:c>
      <x:c r="E92" s="16" t="n">
        <x:v>6188</x:v>
      </x:c>
      <x:c r="F92" s="18" t="n">
        <x:v>270</x:v>
      </x:c>
      <x:c r="G92" s="20" t="n">
        <x:f>IFERROR(E92/F92,0)</x:f>
        <x:v>22.918518518518518</x:v>
      </x:c>
      <x:c r="H92" t="str">
        <x:f>TEXT(D92,"mmm")</x:f>
        <x:v>Mar</x:v>
      </x:c>
      <x:c r="I92" s="22" t="n">
        <x:f>MONTH(D92)</x:f>
        <x:v>3</x:v>
      </x:c>
      <x:c r="J92" s="22" t="n">
        <x:f>YEAR(D92)</x:f>
        <x:v>2022</x:v>
      </x:c>
      <x:c r="K92" t="str">
        <x:f>IF(F92&gt;200,"Large Order","Standard Order")</x:f>
        <x:v>Large Order</x:v>
      </x:c>
    </x:row>
    <x:row r="93">
      <x:c r="A93" t="str">
        <x:v>Madelene Upcott</x:v>
      </x:c>
      <x:c r="B93" t="str">
        <x:v>India</x:v>
      </x:c>
      <x:c r="C93" t="str">
        <x:v>Raspberry Choco</x:v>
      </x:c>
      <x:c r="D93" s="14" t="n">
        <x:v>44749</x:v>
      </x:c>
      <x:c r="E93" s="16" t="n">
        <x:v>4221</x:v>
      </x:c>
      <x:c r="F93" s="18" t="n">
        <x:v>9</x:v>
      </x:c>
      <x:c r="G93" s="20" t="n">
        <x:f>IFERROR(E93/F93,0)</x:f>
        <x:v>469</x:v>
      </x:c>
      <x:c r="H93" t="str">
        <x:f>TEXT(D93,"mmm")</x:f>
        <x:v>Jul</x:v>
      </x:c>
      <x:c r="I93" s="22" t="n">
        <x:f>MONTH(D93)</x:f>
        <x:v>7</x:v>
      </x:c>
      <x:c r="J93" s="22" t="n">
        <x:f>YEAR(D93)</x:f>
        <x:v>2022</x:v>
      </x:c>
      <x:c r="K93" t="str">
        <x:f>IF(F93&gt;200,"Large Order","Standard Order")</x:f>
        <x:v>Standard Order</x:v>
      </x:c>
    </x:row>
    <x:row r="94">
      <x:c r="A94" t="str">
        <x:v>Van Tuxwell</x:v>
      </x:c>
      <x:c r="B94" t="str">
        <x:v>USA</x:v>
      </x:c>
      <x:c r="C94" t="str">
        <x:v>After Nines</x:v>
      </x:c>
      <x:c r="D94" s="14" t="n">
        <x:v>44768</x:v>
      </x:c>
      <x:c r="E94" s="16" t="n">
        <x:v>630</x:v>
      </x:c>
      <x:c r="F94" s="18" t="n">
        <x:v>264</x:v>
      </x:c>
      <x:c r="G94" s="20" t="n">
        <x:f>IFERROR(E94/F94,0)</x:f>
        <x:v>2.3863636363636362</x:v>
      </x:c>
      <x:c r="H94" t="str">
        <x:f>TEXT(D94,"mmm")</x:f>
        <x:v>Jul</x:v>
      </x:c>
      <x:c r="I94" s="22" t="n">
        <x:f>MONTH(D94)</x:f>
        <x:v>7</x:v>
      </x:c>
      <x:c r="J94" s="22" t="n">
        <x:f>YEAR(D94)</x:f>
        <x:v>2022</x:v>
      </x:c>
      <x:c r="K94" t="str">
        <x:f>IF(F94&gt;200,"Large Order","Standard Order")</x:f>
        <x:v>Large Order</x:v>
      </x:c>
    </x:row>
    <x:row r="95">
      <x:c r="A95" t="str">
        <x:v>Wilone O'Kielt</x:v>
      </x:c>
      <x:c r="B95" t="str">
        <x:v>Australia</x:v>
      </x:c>
      <x:c r="C95" t="str">
        <x:v>Organic Choco Syrup</x:v>
      </x:c>
      <x:c r="D95" s="14" t="n">
        <x:v>44749</x:v>
      </x:c>
      <x:c r="E95" s="16" t="n">
        <x:v>1743</x:v>
      </x:c>
      <x:c r="F95" s="18" t="n">
        <x:v>111</x:v>
      </x:c>
      <x:c r="G95" s="20" t="n">
        <x:f>IFERROR(E95/F95,0)</x:f>
        <x:v>15.702702702702704</x:v>
      </x:c>
      <x:c r="H95" t="str">
        <x:f>TEXT(D95,"mmm")</x:f>
        <x:v>Jul</x:v>
      </x:c>
      <x:c r="I95" s="22" t="n">
        <x:f>MONTH(D95)</x:f>
        <x:v>7</x:v>
      </x:c>
      <x:c r="J95" s="22" t="n">
        <x:f>YEAR(D95)</x:f>
        <x:v>2022</x:v>
      </x:c>
      <x:c r="K95" t="str">
        <x:f>IF(F95&gt;200,"Large Order","Standard Order")</x:f>
        <x:v>Standard Order</x:v>
      </x:c>
    </x:row>
    <x:row r="96">
      <x:c r="A96" t="str">
        <x:v>Karlen McCaffrey</x:v>
      </x:c>
      <x:c r="B96" t="str">
        <x:v>Canada</x:v>
      </x:c>
      <x:c r="C96" t="str">
        <x:v>50% Dark Bites</x:v>
      </x:c>
      <x:c r="D96" s="14" t="n">
        <x:v>44757</x:v>
      </x:c>
      <x:c r="E96" s="16" t="n">
        <x:v>2919</x:v>
      </x:c>
      <x:c r="F96" s="18" t="n">
        <x:v>65</x:v>
      </x:c>
      <x:c r="G96" s="20" t="n">
        <x:f>IFERROR(E96/F96,0)</x:f>
        <x:v>44.90769230769231</x:v>
      </x:c>
      <x:c r="H96" t="str">
        <x:f>TEXT(D96,"mmm")</x:f>
        <x:v>Jul</x:v>
      </x:c>
      <x:c r="I96" s="22" t="n">
        <x:f>MONTH(D96)</x:f>
        <x:v>7</x:v>
      </x:c>
      <x:c r="J96" s="22" t="n">
        <x:f>YEAR(D96)</x:f>
        <x:v>2022</x:v>
      </x:c>
      <x:c r="K96" t="str">
        <x:f>IF(F96&gt;200,"Large Order","Standard Order")</x:f>
        <x:v>Standard Order</x:v>
      </x:c>
    </x:row>
    <x:row r="97">
      <x:c r="A97" t="str">
        <x:v>Roddy Speechley</x:v>
      </x:c>
      <x:c r="B97" t="str">
        <x:v>New Zealand</x:v>
      </x:c>
      <x:c r="C97" t="str">
        <x:v>Orange Choco</x:v>
      </x:c>
      <x:c r="D97" s="14" t="n">
        <x:v>44652</x:v>
      </x:c>
      <x:c r="E97" s="16" t="n">
        <x:v>49</x:v>
      </x:c>
      <x:c r="F97" s="18" t="n">
        <x:v>97</x:v>
      </x:c>
      <x:c r="G97" s="20" t="n">
        <x:f>IFERROR(E97/F97,0)</x:f>
        <x:v>0.5051546391752577</x:v>
      </x:c>
      <x:c r="H97" t="str">
        <x:f>TEXT(D97,"mmm")</x:f>
        <x:v>Apr</x:v>
      </x:c>
      <x:c r="I97" s="22" t="n">
        <x:f>MONTH(D97)</x:f>
        <x:v>4</x:v>
      </x:c>
      <x:c r="J97" s="22" t="n">
        <x:f>YEAR(D97)</x:f>
        <x:v>2022</x:v>
      </x:c>
      <x:c r="K97" t="str">
        <x:f>IF(F97&gt;200,"Large Order","Standard Order")</x:f>
        <x:v>Standard Order</x:v>
      </x:c>
    </x:row>
    <x:row r="98">
      <x:c r="A98" t="str">
        <x:v>Beverie Moffet</x:v>
      </x:c>
      <x:c r="B98" t="str">
        <x:v>Australia</x:v>
      </x:c>
      <x:c r="C98" t="str">
        <x:v>Eclairs</x:v>
      </x:c>
      <x:c r="D98" s="14" t="n">
        <x:v>44732</x:v>
      </x:c>
      <x:c r="E98" s="16" t="n">
        <x:v>1827</x:v>
      </x:c>
      <x:c r="F98" s="18" t="n">
        <x:v>6</x:v>
      </x:c>
      <x:c r="G98" s="20" t="n">
        <x:f>IFERROR(E98/F98,0)</x:f>
        <x:v>304.5</x:v>
      </x:c>
      <x:c r="H98" t="str">
        <x:f>TEXT(D98,"mmm")</x:f>
        <x:v>Jun</x:v>
      </x:c>
      <x:c r="I98" s="22" t="n">
        <x:f>MONTH(D98)</x:f>
        <x:v>6</x:v>
      </x:c>
      <x:c r="J98" s="22" t="n">
        <x:f>YEAR(D98)</x:f>
        <x:v>2022</x:v>
      </x:c>
      <x:c r="K98" t="str">
        <x:f>IF(F98&gt;200,"Large Order","Standard Order")</x:f>
        <x:v>Standard Order</x:v>
      </x:c>
    </x:row>
    <x:row r="99">
      <x:c r="A99" t="str">
        <x:v>Kelci Walkden</x:v>
      </x:c>
      <x:c r="B99" t="str">
        <x:v>UK</x:v>
      </x:c>
      <x:c r="C99" t="str">
        <x:v>Fruit &amp; Nut Bars</x:v>
      </x:c>
      <x:c r="D99" s="14" t="n">
        <x:v>44741</x:v>
      </x:c>
      <x:c r="E99" s="16" t="n">
        <x:v>13006</x:v>
      </x:c>
      <x:c r="F99" s="18" t="n">
        <x:v>482</x:v>
      </x:c>
      <x:c r="G99" s="20" t="n">
        <x:f>IFERROR(E99/F99,0)</x:f>
        <x:v>26.983402489626556</x:v>
      </x:c>
      <x:c r="H99" t="str">
        <x:f>TEXT(D99,"mmm")</x:f>
        <x:v>Jun</x:v>
      </x:c>
      <x:c r="I99" s="22" t="n">
        <x:f>MONTH(D99)</x:f>
        <x:v>6</x:v>
      </x:c>
      <x:c r="J99" s="22" t="n">
        <x:f>YEAR(D99)</x:f>
        <x:v>2022</x:v>
      </x:c>
      <x:c r="K99" t="str">
        <x:f>IF(F99&gt;200,"Large Order","Standard Order")</x:f>
        <x:v>Large Order</x:v>
      </x:c>
    </x:row>
    <x:row r="100">
      <x:c r="A100" t="str">
        <x:v>Marney O'Breen</x:v>
      </x:c>
      <x:c r="B100" t="str">
        <x:v>USA</x:v>
      </x:c>
      <x:c r="C100" t="str">
        <x:v>50% Dark Bites</x:v>
      </x:c>
      <x:c r="D100" s="14" t="n">
        <x:v>44727</x:v>
      </x:c>
      <x:c r="E100" s="16" t="n">
        <x:v>1064</x:v>
      </x:c>
      <x:c r="F100" s="18" t="n">
        <x:v>106</x:v>
      </x:c>
      <x:c r="G100" s="20" t="n">
        <x:f>IFERROR(E100/F100,0)</x:f>
        <x:v>10.037735849056604</x:v>
      </x:c>
      <x:c r="H100" t="str">
        <x:f>TEXT(D100,"mmm")</x:f>
        <x:v>Jun</x:v>
      </x:c>
      <x:c r="I100" s="22" t="n">
        <x:f>MONTH(D100)</x:f>
        <x:v>6</x:v>
      </x:c>
      <x:c r="J100" s="22" t="n">
        <x:f>YEAR(D100)</x:f>
        <x:v>2022</x:v>
      </x:c>
      <x:c r="K100" t="str">
        <x:f>IF(F100&gt;200,"Large Order","Standard Order")</x:f>
        <x:v>Standard Order</x:v>
      </x:c>
    </x:row>
    <x:row r="101">
      <x:c r="A101" t="str">
        <x:v>Husein Augar</x:v>
      </x:c>
      <x:c r="B101" t="str">
        <x:v>USA</x:v>
      </x:c>
      <x:c r="C101" t="str">
        <x:v>After Nines</x:v>
      </x:c>
      <x:c r="D101" s="14" t="n">
        <x:v>44659</x:v>
      </x:c>
      <x:c r="E101" s="16" t="n">
        <x:v>11571</x:v>
      </x:c>
      <x:c r="F101" s="18" t="n">
        <x:v>180</x:v>
      </x:c>
      <x:c r="G101" s="20" t="n">
        <x:f>IFERROR(E101/F101,0)</x:f>
        <x:v>64.28333333333333</x:v>
      </x:c>
      <x:c r="H101" t="str">
        <x:f>TEXT(D101,"mmm")</x:f>
        <x:v>Apr</x:v>
      </x:c>
      <x:c r="I101" s="22" t="n">
        <x:f>MONTH(D101)</x:f>
        <x:v>4</x:v>
      </x:c>
      <x:c r="J101" s="22" t="n">
        <x:f>YEAR(D101)</x:f>
        <x:v>2022</x:v>
      </x:c>
      <x:c r="K101" t="str">
        <x:f>IF(F101&gt;200,"Large Order","Standard Order")</x:f>
        <x:v>Standard Order</x:v>
      </x:c>
    </x:row>
    <x:row r="102">
      <x:c r="A102" t="str">
        <x:v>Dennison Crosswaite</x:v>
      </x:c>
      <x:c r="B102" t="str">
        <x:v>Australia</x:v>
      </x:c>
      <x:c r="C102" t="str">
        <x:v>Raspberry Choco</x:v>
      </x:c>
      <x:c r="D102" s="14" t="n">
        <x:v>44634</x:v>
      </x:c>
      <x:c r="E102" s="16" t="n">
        <x:v>5740</x:v>
      </x:c>
      <x:c r="F102" s="18" t="n">
        <x:v>31</x:v>
      </x:c>
      <x:c r="G102" s="20" t="n">
        <x:f>IFERROR(E102/F102,0)</x:f>
        <x:v>185.16129032258064</x:v>
      </x:c>
      <x:c r="H102" t="str">
        <x:f>TEXT(D102,"mmm")</x:f>
        <x:v>Mar</x:v>
      </x:c>
      <x:c r="I102" s="22" t="n">
        <x:f>MONTH(D102)</x:f>
        <x:v>3</x:v>
      </x:c>
      <x:c r="J102" s="22" t="n">
        <x:f>YEAR(D102)</x:f>
        <x:v>2022</x:v>
      </x:c>
      <x:c r="K102" t="str">
        <x:f>IF(F102&gt;200,"Large Order","Standard Order")</x:f>
        <x:v>Standard Order</x:v>
      </x:c>
    </x:row>
    <x:row r="103">
      <x:c r="A103" t="str">
        <x:v>Andria Kimpton</x:v>
      </x:c>
      <x:c r="B103" t="str">
        <x:v>USA</x:v>
      </x:c>
      <x:c r="C103" t="str">
        <x:v>Fruit &amp; Nut Bars</x:v>
      </x:c>
      <x:c r="D103" s="14" t="n">
        <x:v>44757</x:v>
      </x:c>
      <x:c r="E103" s="16" t="n">
        <x:v>1456</x:v>
      </x:c>
      <x:c r="F103" s="18" t="n">
        <x:v>359</x:v>
      </x:c>
      <x:c r="G103" s="20" t="n">
        <x:f>IFERROR(E103/F103,0)</x:f>
        <x:v>4.055710306406685</x:v>
      </x:c>
      <x:c r="H103" t="str">
        <x:f>TEXT(D103,"mmm")</x:f>
        <x:v>Jul</x:v>
      </x:c>
      <x:c r="I103" s="22" t="n">
        <x:f>MONTH(D103)</x:f>
        <x:v>7</x:v>
      </x:c>
      <x:c r="J103" s="22" t="n">
        <x:f>YEAR(D103)</x:f>
        <x:v>2022</x:v>
      </x:c>
      <x:c r="K103" t="str">
        <x:f>IF(F103&gt;200,"Large Order","Standard Order")</x:f>
        <x:v>Large Order</x:v>
      </x:c>
    </x:row>
    <x:row r="104">
      <x:c r="A104" t="str">
        <x:v>Kelci Walkden</x:v>
      </x:c>
      <x:c r="B104" t="str">
        <x:v>India</x:v>
      </x:c>
      <x:c r="C104" t="str">
        <x:v>Eclairs</x:v>
      </x:c>
      <x:c r="D104" s="14" t="n">
        <x:v>44670</x:v>
      </x:c>
      <x:c r="E104" s="16" t="n">
        <x:v>5334</x:v>
      </x:c>
      <x:c r="F104" s="18" t="n">
        <x:v>80</x:v>
      </x:c>
      <x:c r="G104" s="20" t="n">
        <x:f>IFERROR(E104/F104,0)</x:f>
        <x:v>66.675</x:v>
      </x:c>
      <x:c r="H104" t="str">
        <x:f>TEXT(D104,"mmm")</x:f>
        <x:v>Apr</x:v>
      </x:c>
      <x:c r="I104" s="22" t="n">
        <x:f>MONTH(D104)</x:f>
        <x:v>4</x:v>
      </x:c>
      <x:c r="J104" s="22" t="n">
        <x:f>YEAR(D104)</x:f>
        <x:v>2022</x:v>
      </x:c>
      <x:c r="K104" t="str">
        <x:f>IF(F104&gt;200,"Large Order","Standard Order")</x:f>
        <x:v>Standard Order</x:v>
      </x:c>
    </x:row>
    <x:row r="105">
      <x:c r="A105" t="str">
        <x:v>Marney O'Breen</x:v>
      </x:c>
      <x:c r="B105" t="str">
        <x:v>USA</x:v>
      </x:c>
      <x:c r="C105" t="str">
        <x:v>99% Dark &amp; Pure</x:v>
      </x:c>
      <x:c r="D105" s="14" t="n">
        <x:v>44648</x:v>
      </x:c>
      <x:c r="E105" s="16" t="n">
        <x:v>4151</x:v>
      </x:c>
      <x:c r="F105" s="18" t="n">
        <x:v>296</x:v>
      </x:c>
      <x:c r="G105" s="20" t="n">
        <x:f>IFERROR(E105/F105,0)</x:f>
        <x:v>14.02364864864865</x:v>
      </x:c>
      <x:c r="H105" t="str">
        <x:f>TEXT(D105,"mmm")</x:f>
        <x:v>Mar</x:v>
      </x:c>
      <x:c r="I105" s="22" t="n">
        <x:f>MONTH(D105)</x:f>
        <x:v>3</x:v>
      </x:c>
      <x:c r="J105" s="22" t="n">
        <x:f>YEAR(D105)</x:f>
        <x:v>2022</x:v>
      </x:c>
      <x:c r="K105" t="str">
        <x:f>IF(F105&gt;200,"Large Order","Standard Order")</x:f>
        <x:v>Large Order</x:v>
      </x:c>
    </x:row>
    <x:row r="106">
      <x:c r="A106" t="str">
        <x:v>Brien Boise</x:v>
      </x:c>
      <x:c r="B106" t="str">
        <x:v>Canada</x:v>
      </x:c>
      <x:c r="C106" t="str">
        <x:v>Spicy Special Slims</x:v>
      </x:c>
      <x:c r="D106" s="14" t="n">
        <x:v>44624</x:v>
      </x:c>
      <x:c r="E106" s="16" t="n">
        <x:v>8106</x:v>
      </x:c>
      <x:c r="F106" s="18" t="n">
        <x:v>101</x:v>
      </x:c>
      <x:c r="G106" s="20" t="n">
        <x:f>IFERROR(E106/F106,0)</x:f>
        <x:v>80.25742574257426</x:v>
      </x:c>
      <x:c r="H106" t="str">
        <x:f>TEXT(D106,"mmm")</x:f>
        <x:v>Mar</x:v>
      </x:c>
      <x:c r="I106" s="22" t="n">
        <x:f>MONTH(D106)</x:f>
        <x:v>3</x:v>
      </x:c>
      <x:c r="J106" s="22" t="n">
        <x:f>YEAR(D106)</x:f>
        <x:v>2022</x:v>
      </x:c>
      <x:c r="K106" t="str">
        <x:f>IF(F106&gt;200,"Large Order","Standard Order")</x:f>
        <x:v>Standard Order</x:v>
      </x:c>
    </x:row>
    <x:row r="107">
      <x:c r="A107" t="str">
        <x:v>Karlen McCaffrey</x:v>
      </x:c>
      <x:c r="B107" t="str">
        <x:v>New Zealand</x:v>
      </x:c>
      <x:c r="C107" t="str">
        <x:v>70% Dark Bites</x:v>
      </x:c>
      <x:c r="D107" s="14" t="n">
        <x:v>44775</x:v>
      </x:c>
      <x:c r="E107" s="16" t="n">
        <x:v>126</x:v>
      </x:c>
      <x:c r="F107" s="18" t="n">
        <x:v>40</x:v>
      </x:c>
      <x:c r="G107" s="20" t="n">
        <x:f>IFERROR(E107/F107,0)</x:f>
        <x:v>3.15</x:v>
      </x:c>
      <x:c r="H107" t="str">
        <x:f>TEXT(D107,"mmm")</x:f>
        <x:v>Aug</x:v>
      </x:c>
      <x:c r="I107" s="22" t="n">
        <x:f>MONTH(D107)</x:f>
        <x:v>8</x:v>
      </x:c>
      <x:c r="J107" s="22" t="n">
        <x:f>YEAR(D107)</x:f>
        <x:v>2022</x:v>
      </x:c>
      <x:c r="K107" t="str">
        <x:f>IF(F107&gt;200,"Large Order","Standard Order")</x:f>
        <x:v>Standard Order</x:v>
      </x:c>
    </x:row>
    <x:row r="108">
      <x:c r="A108" t="str">
        <x:v>Husein Augar</x:v>
      </x:c>
      <x:c r="B108" t="str">
        <x:v>UK</x:v>
      </x:c>
      <x:c r="C108" t="str">
        <x:v>Spicy Special Slims</x:v>
      </x:c>
      <x:c r="D108" s="14" t="n">
        <x:v>44798</x:v>
      </x:c>
      <x:c r="E108" s="16" t="n">
        <x:v>4697</x:v>
      </x:c>
      <x:c r="F108" s="18" t="n">
        <x:v>42</x:v>
      </x:c>
      <x:c r="G108" s="20" t="n">
        <x:f>IFERROR(E108/F108,0)</x:f>
        <x:v>111.83333333333333</x:v>
      </x:c>
      <x:c r="H108" t="str">
        <x:f>TEXT(D108,"mmm")</x:f>
        <x:v>Aug</x:v>
      </x:c>
      <x:c r="I108" s="22" t="n">
        <x:f>MONTH(D108)</x:f>
        <x:v>8</x:v>
      </x:c>
      <x:c r="J108" s="22" t="n">
        <x:f>YEAR(D108)</x:f>
        <x:v>2022</x:v>
      </x:c>
      <x:c r="K108" t="str">
        <x:f>IF(F108&gt;200,"Large Order","Standard Order")</x:f>
        <x:v>Standard Order</x:v>
      </x:c>
    </x:row>
    <x:row r="109">
      <x:c r="A109" t="str">
        <x:v>Marney O'Breen</x:v>
      </x:c>
      <x:c r="B109" t="str">
        <x:v>USA</x:v>
      </x:c>
      <x:c r="C109" t="str">
        <x:v>Almond Choco</x:v>
      </x:c>
      <x:c r="D109" s="14" t="n">
        <x:v>44617</x:v>
      </x:c>
      <x:c r="E109" s="16" t="n">
        <x:v>7798</x:v>
      </x:c>
      <x:c r="F109" s="18" t="n">
        <x:v>167</x:v>
      </x:c>
      <x:c r="G109" s="20" t="n">
        <x:f>IFERROR(E109/F109,0)</x:f>
        <x:v>46.69461077844311</x:v>
      </x:c>
      <x:c r="H109" t="str">
        <x:f>TEXT(D109,"mmm")</x:f>
        <x:v>Feb</x:v>
      </x:c>
      <x:c r="I109" s="22" t="n">
        <x:f>MONTH(D109)</x:f>
        <x:v>2</x:v>
      </x:c>
      <x:c r="J109" s="22" t="n">
        <x:f>YEAR(D109)</x:f>
        <x:v>2022</x:v>
      </x:c>
      <x:c r="K109" t="str">
        <x:f>IF(F109&gt;200,"Large Order","Standard Order")</x:f>
        <x:v>Standard Order</x:v>
      </x:c>
    </x:row>
    <x:row r="110">
      <x:c r="A110" t="str">
        <x:v>Kelci Walkden</x:v>
      </x:c>
      <x:c r="B110" t="str">
        <x:v>India</x:v>
      </x:c>
      <x:c r="C110" t="str">
        <x:v>Orange Choco</x:v>
      </x:c>
      <x:c r="D110" s="14" t="n">
        <x:v>44719</x:v>
      </x:c>
      <x:c r="E110" s="16" t="n">
        <x:v>9408</x:v>
      </x:c>
      <x:c r="F110" s="18" t="n">
        <x:v>138</x:v>
      </x:c>
      <x:c r="G110" s="20" t="n">
        <x:f>IFERROR(E110/F110,0)</x:f>
        <x:v>68.17391304347827</x:v>
      </x:c>
      <x:c r="H110" t="str">
        <x:f>TEXT(D110,"mmm")</x:f>
        <x:v>Jun</x:v>
      </x:c>
      <x:c r="I110" s="22" t="n">
        <x:f>MONTH(D110)</x:f>
        <x:v>6</x:v>
      </x:c>
      <x:c r="J110" s="22" t="n">
        <x:f>YEAR(D110)</x:f>
        <x:v>2022</x:v>
      </x:c>
      <x:c r="K110" t="str">
        <x:f>IF(F110&gt;200,"Large Order","Standard Order")</x:f>
        <x:v>Standard Order</x:v>
      </x:c>
    </x:row>
    <x:row r="111">
      <x:c r="A111" t="str">
        <x:v>Jan Morforth</x:v>
      </x:c>
      <x:c r="B111" t="str">
        <x:v>India</x:v>
      </x:c>
      <x:c r="C111" t="str">
        <x:v>Spicy Special Slims</x:v>
      </x:c>
      <x:c r="D111" s="14" t="n">
        <x:v>44663</x:v>
      </x:c>
      <x:c r="E111" s="16" t="n">
        <x:v>1939</x:v>
      </x:c>
      <x:c r="F111" s="18" t="n">
        <x:v>520</x:v>
      </x:c>
      <x:c r="G111" s="20" t="n">
        <x:f>IFERROR(E111/F111,0)</x:f>
        <x:v>3.728846153846154</x:v>
      </x:c>
      <x:c r="H111" t="str">
        <x:f>TEXT(D111,"mmm")</x:f>
        <x:v>Apr</x:v>
      </x:c>
      <x:c r="I111" s="22" t="n">
        <x:f>MONTH(D111)</x:f>
        <x:v>4</x:v>
      </x:c>
      <x:c r="J111" s="22" t="n">
        <x:f>YEAR(D111)</x:f>
        <x:v>2022</x:v>
      </x:c>
      <x:c r="K111" t="str">
        <x:f>IF(F111&gt;200,"Large Order","Standard Order")</x:f>
        <x:v>Large Order</x:v>
      </x:c>
    </x:row>
    <x:row r="112">
      <x:c r="A112" t="str">
        <x:v>Ches Bonnell</x:v>
      </x:c>
      <x:c r="B112" t="str">
        <x:v>India</x:v>
      </x:c>
      <x:c r="C112" t="str">
        <x:v>Spicy Special Slims</x:v>
      </x:c>
      <x:c r="D112" s="14" t="n">
        <x:v>44748</x:v>
      </x:c>
      <x:c r="E112" s="16" t="n">
        <x:v>10906</x:v>
      </x:c>
      <x:c r="F112" s="18" t="n">
        <x:v>94</x:v>
      </x:c>
      <x:c r="G112" s="20" t="n">
        <x:f>IFERROR(E112/F112,0)</x:f>
        <x:v>116.02127659574468</x:v>
      </x:c>
      <x:c r="H112" t="str">
        <x:f>TEXT(D112,"mmm")</x:f>
        <x:v>Jul</x:v>
      </x:c>
      <x:c r="I112" s="22" t="n">
        <x:f>MONTH(D112)</x:f>
        <x:v>7</x:v>
      </x:c>
      <x:c r="J112" s="22" t="n">
        <x:f>YEAR(D112)</x:f>
        <x:v>2022</x:v>
      </x:c>
      <x:c r="K112" t="str">
        <x:f>IF(F112&gt;200,"Large Order","Standard Order")</x:f>
        <x:v>Standard Order</x:v>
      </x:c>
    </x:row>
    <x:row r="113">
      <x:c r="A113" t="str">
        <x:v>Kelci Walkden</x:v>
      </x:c>
      <x:c r="B113" t="str">
        <x:v>UK</x:v>
      </x:c>
      <x:c r="C113" t="str">
        <x:v>Smooth Silky Salty</x:v>
      </x:c>
      <x:c r="D113" s="14" t="n">
        <x:v>44580</x:v>
      </x:c>
      <x:c r="E113" s="16" t="n">
        <x:v>5929</x:v>
      </x:c>
      <x:c r="F113" s="18" t="n">
        <x:v>175</x:v>
      </x:c>
      <x:c r="G113" s="20" t="n">
        <x:f>IFERROR(E113/F113,0)</x:f>
        <x:v>33.88</x:v>
      </x:c>
      <x:c r="H113" t="str">
        <x:f>TEXT(D113,"mmm")</x:f>
        <x:v>Jan</x:v>
      </x:c>
      <x:c r="I113" s="22" t="n">
        <x:f>MONTH(D113)</x:f>
        <x:v>1</x:v>
      </x:c>
      <x:c r="J113" s="22" t="n">
        <x:f>YEAR(D113)</x:f>
        <x:v>2022</x:v>
      </x:c>
      <x:c r="K113" t="str">
        <x:f>IF(F113&gt;200,"Large Order","Standard Order")</x:f>
        <x:v>Standard Order</x:v>
      </x:c>
    </x:row>
    <x:row r="114">
      <x:c r="A114" t="str">
        <x:v>Madelene Upcott</x:v>
      </x:c>
      <x:c r="B114" t="str">
        <x:v>Australia</x:v>
      </x:c>
      <x:c r="C114" t="str">
        <x:v>Fruit &amp; Nut Bars</x:v>
      </x:c>
      <x:c r="D114" s="14" t="n">
        <x:v>44566</x:v>
      </x:c>
      <x:c r="E114" s="16" t="n">
        <x:v>5579</x:v>
      </x:c>
      <x:c r="F114" s="18" t="n">
        <x:v>92</x:v>
      </x:c>
      <x:c r="G114" s="20" t="n">
        <x:f>IFERROR(E114/F114,0)</x:f>
        <x:v>60.641304347826086</x:v>
      </x:c>
      <x:c r="H114" t="str">
        <x:f>TEXT(D114,"mmm")</x:f>
        <x:v>Jan</x:v>
      </x:c>
      <x:c r="I114" s="22" t="n">
        <x:f>MONTH(D114)</x:f>
        <x:v>1</x:v>
      </x:c>
      <x:c r="J114" s="22" t="n">
        <x:f>YEAR(D114)</x:f>
        <x:v>2022</x:v>
      </x:c>
      <x:c r="K114" t="str">
        <x:f>IF(F114&gt;200,"Large Order","Standard Order")</x:f>
        <x:v>Standard Order</x:v>
      </x:c>
    </x:row>
    <x:row r="115">
      <x:c r="A115" t="str">
        <x:v>Madelene Upcott</x:v>
      </x:c>
      <x:c r="B115" t="str">
        <x:v>Canada</x:v>
      </x:c>
      <x:c r="C115" t="str">
        <x:v>70% Dark Bites</x:v>
      </x:c>
      <x:c r="D115" s="14" t="n">
        <x:v>44585</x:v>
      </x:c>
      <x:c r="E115" s="16" t="n">
        <x:v>10927</x:v>
      </x:c>
      <x:c r="F115" s="18" t="n">
        <x:v>141</x:v>
      </x:c>
      <x:c r="G115" s="20" t="n">
        <x:f>IFERROR(E115/F115,0)</x:f>
        <x:v>77.49645390070921</x:v>
      </x:c>
      <x:c r="H115" t="str">
        <x:f>TEXT(D115,"mmm")</x:f>
        <x:v>Jan</x:v>
      </x:c>
      <x:c r="I115" s="22" t="n">
        <x:f>MONTH(D115)</x:f>
        <x:v>1</x:v>
      </x:c>
      <x:c r="J115" s="22" t="n">
        <x:f>YEAR(D115)</x:f>
        <x:v>2022</x:v>
      </x:c>
      <x:c r="K115" t="str">
        <x:f>IF(F115&gt;200,"Large Order","Standard Order")</x:f>
        <x:v>Standard Order</x:v>
      </x:c>
    </x:row>
    <x:row r="116">
      <x:c r="A116" t="str">
        <x:v>Wilone O'Kielt</x:v>
      </x:c>
      <x:c r="B116" t="str">
        <x:v>Australia</x:v>
      </x:c>
      <x:c r="C116" t="str">
        <x:v>Drinking Coco</x:v>
      </x:c>
      <x:c r="D116" s="14" t="n">
        <x:v>44657</x:v>
      </x:c>
      <x:c r="E116" s="16" t="n">
        <x:v>623</x:v>
      </x:c>
      <x:c r="F116" s="18" t="n">
        <x:v>283</x:v>
      </x:c>
      <x:c r="G116" s="20" t="n">
        <x:f>IFERROR(E116/F116,0)</x:f>
        <x:v>2.2014134275618376</x:v>
      </x:c>
      <x:c r="H116" t="str">
        <x:f>TEXT(D116,"mmm")</x:f>
        <x:v>Apr</x:v>
      </x:c>
      <x:c r="I116" s="22" t="n">
        <x:f>MONTH(D116)</x:f>
        <x:v>4</x:v>
      </x:c>
      <x:c r="J116" s="22" t="n">
        <x:f>YEAR(D116)</x:f>
        <x:v>2022</x:v>
      </x:c>
      <x:c r="K116" t="str">
        <x:f>IF(F116&gt;200,"Large Order","Standard Order")</x:f>
        <x:v>Large Order</x:v>
      </x:c>
    </x:row>
    <x:row r="117">
      <x:c r="A117" t="str">
        <x:v>Gunar Cockshoot</x:v>
      </x:c>
      <x:c r="B117" t="str">
        <x:v>Australia</x:v>
      </x:c>
      <x:c r="C117" t="str">
        <x:v>Fruit &amp; Nut Bars</x:v>
      </x:c>
      <x:c r="D117" s="14" t="n">
        <x:v>44727</x:v>
      </x:c>
      <x:c r="E117" s="16" t="n">
        <x:v>6013</x:v>
      </x:c>
      <x:c r="F117" s="18" t="n">
        <x:v>21</x:v>
      </x:c>
      <x:c r="G117" s="20" t="n">
        <x:f>IFERROR(E117/F117,0)</x:f>
        <x:v>286.3333333333333</x:v>
      </x:c>
      <x:c r="H117" t="str">
        <x:f>TEXT(D117,"mmm")</x:f>
        <x:v>Jun</x:v>
      </x:c>
      <x:c r="I117" s="22" t="n">
        <x:f>MONTH(D117)</x:f>
        <x:v>6</x:v>
      </x:c>
      <x:c r="J117" s="22" t="n">
        <x:f>YEAR(D117)</x:f>
        <x:v>2022</x:v>
      </x:c>
      <x:c r="K117" t="str">
        <x:f>IF(F117&gt;200,"Large Order","Standard Order")</x:f>
        <x:v>Standard Order</x:v>
      </x:c>
    </x:row>
    <x:row r="118">
      <x:c r="A118" t="str">
        <x:v>Gigi Bohling</x:v>
      </x:c>
      <x:c r="B118" t="str">
        <x:v>Canada</x:v>
      </x:c>
      <x:c r="C118" t="str">
        <x:v>Baker's Choco Chips</x:v>
      </x:c>
      <x:c r="D118" s="14" t="n">
        <x:v>44589</x:v>
      </x:c>
      <x:c r="E118" s="16" t="n">
        <x:v>1505</x:v>
      </x:c>
      <x:c r="F118" s="18" t="n">
        <x:v>47</x:v>
      </x:c>
      <x:c r="G118" s="20" t="n">
        <x:f>IFERROR(E118/F118,0)</x:f>
        <x:v>32.02127659574468</x:v>
      </x:c>
      <x:c r="H118" t="str">
        <x:f>TEXT(D118,"mmm")</x:f>
        <x:v>Jan</x:v>
      </x:c>
      <x:c r="I118" s="22" t="n">
        <x:f>MONTH(D118)</x:f>
        <x:v>1</x:v>
      </x:c>
      <x:c r="J118" s="22" t="n">
        <x:f>YEAR(D118)</x:f>
        <x:v>2022</x:v>
      </x:c>
      <x:c r="K118" t="str">
        <x:f>IF(F118&gt;200,"Large Order","Standard Order")</x:f>
        <x:v>Standard Order</x:v>
      </x:c>
    </x:row>
    <x:row r="119">
      <x:c r="A119" t="str">
        <x:v>Kelci Walkden</x:v>
      </x:c>
      <x:c r="B119" t="str">
        <x:v>India</x:v>
      </x:c>
      <x:c r="C119" t="str">
        <x:v>Caramel Stuffed Bars</x:v>
      </x:c>
      <x:c r="D119" s="14" t="n">
        <x:v>44636</x:v>
      </x:c>
      <x:c r="E119" s="16" t="n">
        <x:v>476</x:v>
      </x:c>
      <x:c r="F119" s="18" t="n">
        <x:v>125</x:v>
      </x:c>
      <x:c r="G119" s="20" t="n">
        <x:f>IFERROR(E119/F119,0)</x:f>
        <x:v>3.808</x:v>
      </x:c>
      <x:c r="H119" t="str">
        <x:f>TEXT(D119,"mmm")</x:f>
        <x:v>Mar</x:v>
      </x:c>
      <x:c r="I119" s="22" t="n">
        <x:f>MONTH(D119)</x:f>
        <x:v>3</x:v>
      </x:c>
      <x:c r="J119" s="22" t="n">
        <x:f>YEAR(D119)</x:f>
        <x:v>2022</x:v>
      </x:c>
      <x:c r="K119" t="str">
        <x:f>IF(F119&gt;200,"Large Order","Standard Order")</x:f>
        <x:v>Standard Order</x:v>
      </x:c>
    </x:row>
    <x:row r="120">
      <x:c r="A120" t="str">
        <x:v>Rafaelita Blaksland</x:v>
      </x:c>
      <x:c r="B120" t="str">
        <x:v>Australia</x:v>
      </x:c>
      <x:c r="C120" t="str">
        <x:v>Drinking Coco</x:v>
      </x:c>
      <x:c r="D120" s="14" t="n">
        <x:v>44613</x:v>
      </x:c>
      <x:c r="E120" s="16" t="n">
        <x:v>11550</x:v>
      </x:c>
      <x:c r="F120" s="18" t="n">
        <x:v>396</x:v>
      </x:c>
      <x:c r="G120" s="20" t="n">
        <x:f>IFERROR(E120/F120,0)</x:f>
        <x:v>29.166666666666668</x:v>
      </x:c>
      <x:c r="H120" t="str">
        <x:f>TEXT(D120,"mmm")</x:f>
        <x:v>Feb</x:v>
      </x:c>
      <x:c r="I120" s="22" t="n">
        <x:f>MONTH(D120)</x:f>
        <x:v>2</x:v>
      </x:c>
      <x:c r="J120" s="22" t="n">
        <x:f>YEAR(D120)</x:f>
        <x:v>2022</x:v>
      </x:c>
      <x:c r="K120" t="str">
        <x:f>IF(F120&gt;200,"Large Order","Standard Order")</x:f>
        <x:v>Large Order</x:v>
      </x:c>
    </x:row>
    <x:row r="121">
      <x:c r="A121" t="str">
        <x:v>Kelci Walkden</x:v>
      </x:c>
      <x:c r="B121" t="str">
        <x:v>USA</x:v>
      </x:c>
      <x:c r="C121" t="str">
        <x:v>Manuka Honey Choco</x:v>
      </x:c>
      <x:c r="D121" s="14" t="n">
        <x:v>44608</x:v>
      </x:c>
      <x:c r="E121" s="16" t="n">
        <x:v>17318</x:v>
      </x:c>
      <x:c r="F121" s="18" t="n">
        <x:v>87</x:v>
      </x:c>
      <x:c r="G121" s="20" t="n">
        <x:f>IFERROR(E121/F121,0)</x:f>
        <x:v>199.05747126436782</x:v>
      </x:c>
      <x:c r="H121" t="str">
        <x:f>TEXT(D121,"mmm")</x:f>
        <x:v>Feb</x:v>
      </x:c>
      <x:c r="I121" s="22" t="n">
        <x:f>MONTH(D121)</x:f>
        <x:v>2</x:v>
      </x:c>
      <x:c r="J121" s="22" t="n">
        <x:f>YEAR(D121)</x:f>
        <x:v>2022</x:v>
      </x:c>
      <x:c r="K121" t="str">
        <x:f>IF(F121&gt;200,"Large Order","Standard Order")</x:f>
        <x:v>Standard Order</x:v>
      </x:c>
    </x:row>
    <x:row r="122">
      <x:c r="A122" t="str">
        <x:v>Jehu Rudeforth</x:v>
      </x:c>
      <x:c r="B122" t="str">
        <x:v>Canada</x:v>
      </x:c>
      <x:c r="C122" t="str">
        <x:v>Spicy Special Slims</x:v>
      </x:c>
      <x:c r="D122" s="14" t="n">
        <x:v>44574</x:v>
      </x:c>
      <x:c r="E122" s="16" t="n">
        <x:v>1848</x:v>
      </x:c>
      <x:c r="F122" s="18" t="n">
        <x:v>27</x:v>
      </x:c>
      <x:c r="G122" s="20" t="n">
        <x:f>IFERROR(E122/F122,0)</x:f>
        <x:v>68.44444444444444</x:v>
      </x:c>
      <x:c r="H122" t="str">
        <x:f>TEXT(D122,"mmm")</x:f>
        <x:v>Jan</x:v>
      </x:c>
      <x:c r="I122" s="22" t="n">
        <x:f>MONTH(D122)</x:f>
        <x:v>1</x:v>
      </x:c>
      <x:c r="J122" s="22" t="n">
        <x:f>YEAR(D122)</x:f>
        <x:v>2022</x:v>
      </x:c>
      <x:c r="K122" t="str">
        <x:f>IF(F122&gt;200,"Large Order","Standard Order")</x:f>
        <x:v>Standard Order</x:v>
      </x:c>
    </x:row>
    <x:row r="123">
      <x:c r="A123" t="str">
        <x:v>Kelci Walkden</x:v>
      </x:c>
      <x:c r="B123" t="str">
        <x:v>Australia</x:v>
      </x:c>
      <x:c r="C123" t="str">
        <x:v>Eclairs</x:v>
      </x:c>
      <x:c r="D123" s="14" t="n">
        <x:v>44643</x:v>
      </x:c>
      <x:c r="E123" s="16" t="n">
        <x:v>7273</x:v>
      </x:c>
      <x:c r="F123" s="18" t="n">
        <x:v>547</x:v>
      </x:c>
      <x:c r="G123" s="20" t="n">
        <x:f>IFERROR(E123/F123,0)</x:f>
        <x:v>13.296160877513712</x:v>
      </x:c>
      <x:c r="H123" t="str">
        <x:f>TEXT(D123,"mmm")</x:f>
        <x:v>Mar</x:v>
      </x:c>
      <x:c r="I123" s="22" t="n">
        <x:f>MONTH(D123)</x:f>
        <x:v>3</x:v>
      </x:c>
      <x:c r="J123" s="22" t="n">
        <x:f>YEAR(D123)</x:f>
        <x:v>2022</x:v>
      </x:c>
      <x:c r="K123" t="str">
        <x:f>IF(F123&gt;200,"Large Order","Standard Order")</x:f>
        <x:v>Large Order</x:v>
      </x:c>
    </x:row>
    <x:row r="124">
      <x:c r="A124" t="str">
        <x:v>Curtice Advani</x:v>
      </x:c>
      <x:c r="B124" t="str">
        <x:v>Canada</x:v>
      </x:c>
      <x:c r="C124" t="str">
        <x:v>Spicy Special Slims</x:v>
      </x:c>
      <x:c r="D124" s="14" t="n">
        <x:v>44728</x:v>
      </x:c>
      <x:c r="E124" s="16" t="n">
        <x:v>854</x:v>
      </x:c>
      <x:c r="F124" s="18" t="n">
        <x:v>118</x:v>
      </x:c>
      <x:c r="G124" s="20" t="n">
        <x:f>IFERROR(E124/F124,0)</x:f>
        <x:v>7.237288135593221</x:v>
      </x:c>
      <x:c r="H124" t="str">
        <x:f>TEXT(D124,"mmm")</x:f>
        <x:v>Jun</x:v>
      </x:c>
      <x:c r="I124" s="22" t="n">
        <x:f>MONTH(D124)</x:f>
        <x:v>6</x:v>
      </x:c>
      <x:c r="J124" s="22" t="n">
        <x:f>YEAR(D124)</x:f>
        <x:v>2022</x:v>
      </x:c>
      <x:c r="K124" t="str">
        <x:f>IF(F124&gt;200,"Large Order","Standard Order")</x:f>
        <x:v>Standard Order</x:v>
      </x:c>
    </x:row>
    <x:row r="125">
      <x:c r="A125" t="str">
        <x:v>Oby Sorrel</x:v>
      </x:c>
      <x:c r="B125" t="str">
        <x:v>India</x:v>
      </x:c>
      <x:c r="C125" t="str">
        <x:v>Raspberry Choco</x:v>
      </x:c>
      <x:c r="D125" s="14" t="n">
        <x:v>44665</x:v>
      </x:c>
      <x:c r="E125" s="16" t="n">
        <x:v>6832</x:v>
      </x:c>
      <x:c r="F125" s="18" t="n">
        <x:v>46</x:v>
      </x:c>
      <x:c r="G125" s="20" t="n">
        <x:f>IFERROR(E125/F125,0)</x:f>
        <x:v>148.52173913043478</x:v>
      </x:c>
      <x:c r="H125" t="str">
        <x:f>TEXT(D125,"mmm")</x:f>
        <x:v>Apr</x:v>
      </x:c>
      <x:c r="I125" s="22" t="n">
        <x:f>MONTH(D125)</x:f>
        <x:v>4</x:v>
      </x:c>
      <x:c r="J125" s="22" t="n">
        <x:f>YEAR(D125)</x:f>
        <x:v>2022</x:v>
      </x:c>
      <x:c r="K125" t="str">
        <x:f>IF(F125&gt;200,"Large Order","Standard Order")</x:f>
        <x:v>Standard Order</x:v>
      </x:c>
    </x:row>
    <x:row r="126">
      <x:c r="A126" t="str">
        <x:v>Kelci Walkden</x:v>
      </x:c>
      <x:c r="B126" t="str">
        <x:v>UK</x:v>
      </x:c>
      <x:c r="C126" t="str">
        <x:v>Eclairs</x:v>
      </x:c>
      <x:c r="D126" s="14" t="n">
        <x:v>44586</x:v>
      </x:c>
      <x:c r="E126" s="16" t="n">
        <x:v>4606</x:v>
      </x:c>
      <x:c r="F126" s="18" t="n">
        <x:v>57</x:v>
      </x:c>
      <x:c r="G126" s="20" t="n">
        <x:f>IFERROR(E126/F126,0)</x:f>
        <x:v>80.80701754385964</x:v>
      </x:c>
      <x:c r="H126" t="str">
        <x:f>TEXT(D126,"mmm")</x:f>
        <x:v>Jan</x:v>
      </x:c>
      <x:c r="I126" s="22" t="n">
        <x:f>MONTH(D126)</x:f>
        <x:v>1</x:v>
      </x:c>
      <x:c r="J126" s="22" t="n">
        <x:f>YEAR(D126)</x:f>
        <x:v>2022</x:v>
      </x:c>
      <x:c r="K126" t="str">
        <x:f>IF(F126&gt;200,"Large Order","Standard Order")</x:f>
        <x:v>Standard Order</x:v>
      </x:c>
    </x:row>
    <x:row r="127">
      <x:c r="A127" t="str">
        <x:v>Jan Morforth</x:v>
      </x:c>
      <x:c r="B127" t="str">
        <x:v>India</x:v>
      </x:c>
      <x:c r="C127" t="str">
        <x:v>Almond Choco</x:v>
      </x:c>
      <x:c r="D127" s="14" t="n">
        <x:v>44631</x:v>
      </x:c>
      <x:c r="E127" s="16" t="n">
        <x:v>4466</x:v>
      </x:c>
      <x:c r="F127" s="18" t="n">
        <x:v>22</x:v>
      </x:c>
      <x:c r="G127" s="20" t="n">
        <x:f>IFERROR(E127/F127,0)</x:f>
        <x:v>203</x:v>
      </x:c>
      <x:c r="H127" t="str">
        <x:f>TEXT(D127,"mmm")</x:f>
        <x:v>Mar</x:v>
      </x:c>
      <x:c r="I127" s="22" t="n">
        <x:f>MONTH(D127)</x:f>
        <x:v>3</x:v>
      </x:c>
      <x:c r="J127" s="22" t="n">
        <x:f>YEAR(D127)</x:f>
        <x:v>2022</x:v>
      </x:c>
      <x:c r="K127" t="str">
        <x:f>IF(F127&gt;200,"Large Order","Standard Order")</x:f>
        <x:v>Standard Order</x:v>
      </x:c>
    </x:row>
    <x:row r="128">
      <x:c r="A128" t="str">
        <x:v>Dotty Strutley</x:v>
      </x:c>
      <x:c r="B128" t="str">
        <x:v>UK</x:v>
      </x:c>
      <x:c r="C128" t="str">
        <x:v>Almond Choco</x:v>
      </x:c>
      <x:c r="D128" s="14" t="n">
        <x:v>44770</x:v>
      </x:c>
      <x:c r="E128" s="16" t="n">
        <x:v>16114</x:v>
      </x:c>
      <x:c r="F128" s="18" t="n">
        <x:v>96</x:v>
      </x:c>
      <x:c r="G128" s="20" t="n">
        <x:f>IFERROR(E128/F128,0)</x:f>
        <x:v>167.85416666666666</x:v>
      </x:c>
      <x:c r="H128" t="str">
        <x:f>TEXT(D128,"mmm")</x:f>
        <x:v>Jul</x:v>
      </x:c>
      <x:c r="I128" s="22" t="n">
        <x:f>MONTH(D128)</x:f>
        <x:v>7</x:v>
      </x:c>
      <x:c r="J128" s="22" t="n">
        <x:f>YEAR(D128)</x:f>
        <x:v>2022</x:v>
      </x:c>
      <x:c r="K128" t="str">
        <x:f>IF(F128&gt;200,"Large Order","Standard Order")</x:f>
        <x:v>Standard Order</x:v>
      </x:c>
    </x:row>
    <x:row r="129">
      <x:c r="A129" t="str">
        <x:v>Marney O'Breen</x:v>
      </x:c>
      <x:c r="B129" t="str">
        <x:v>New Zealand</x:v>
      </x:c>
      <x:c r="C129" t="str">
        <x:v>After Nines</x:v>
      </x:c>
      <x:c r="D129" s="14" t="n">
        <x:v>44629</x:v>
      </x:c>
      <x:c r="E129" s="16" t="n">
        <x:v>1561</x:v>
      </x:c>
      <x:c r="F129" s="18" t="n">
        <x:v>44</x:v>
      </x:c>
      <x:c r="G129" s="20" t="n">
        <x:f>IFERROR(E129/F129,0)</x:f>
        <x:v>35.47727272727273</x:v>
      </x:c>
      <x:c r="H129" t="str">
        <x:f>TEXT(D129,"mmm")</x:f>
        <x:v>Mar</x:v>
      </x:c>
      <x:c r="I129" s="22" t="n">
        <x:f>MONTH(D129)</x:f>
        <x:v>3</x:v>
      </x:c>
      <x:c r="J129" s="22" t="n">
        <x:f>YEAR(D129)</x:f>
        <x:v>2022</x:v>
      </x:c>
      <x:c r="K129" t="str">
        <x:f>IF(F129&gt;200,"Large Order","Standard Order")</x:f>
        <x:v>Standard Order</x:v>
      </x:c>
    </x:row>
    <x:row r="130">
      <x:c r="A130" t="str">
        <x:v>Husein Augar</x:v>
      </x:c>
      <x:c r="B130" t="str">
        <x:v>Australia</x:v>
      </x:c>
      <x:c r="C130" t="str">
        <x:v>Orange Choco</x:v>
      </x:c>
      <x:c r="D130" s="14" t="n">
        <x:v>44740</x:v>
      </x:c>
      <x:c r="E130" s="16" t="n">
        <x:v>8897</x:v>
      </x:c>
      <x:c r="F130" s="18" t="n">
        <x:v>188</x:v>
      </x:c>
      <x:c r="G130" s="20" t="n">
        <x:f>IFERROR(E130/F130,0)</x:f>
        <x:v>47.32446808510638</x:v>
      </x:c>
      <x:c r="H130" t="str">
        <x:f>TEXT(D130,"mmm")</x:f>
        <x:v>Jun</x:v>
      </x:c>
      <x:c r="I130" s="22" t="n">
        <x:f>MONTH(D130)</x:f>
        <x:v>6</x:v>
      </x:c>
      <x:c r="J130" s="22" t="n">
        <x:f>YEAR(D130)</x:f>
        <x:v>2022</x:v>
      </x:c>
      <x:c r="K130" t="str">
        <x:f>IF(F130&gt;200,"Large Order","Standard Order")</x:f>
        <x:v>Standard Order</x:v>
      </x:c>
    </x:row>
    <x:row r="131">
      <x:c r="A131" t="str">
        <x:v>Marney O'Breen</x:v>
      </x:c>
      <x:c r="B131" t="str">
        <x:v>Australia</x:v>
      </x:c>
      <x:c r="C131" t="str">
        <x:v>Milk Bars</x:v>
      </x:c>
      <x:c r="D131" s="14" t="n">
        <x:v>44770</x:v>
      </x:c>
      <x:c r="E131" s="16" t="n">
        <x:v>2464</x:v>
      </x:c>
      <x:c r="F131" s="18" t="n">
        <x:v>387</x:v>
      </x:c>
      <x:c r="G131" s="20" t="n">
        <x:f>IFERROR(E131/F131,0)</x:f>
        <x:v>6.366925064599483</x:v>
      </x:c>
      <x:c r="H131" t="str">
        <x:f>TEXT(D131,"mmm")</x:f>
        <x:v>Jul</x:v>
      </x:c>
      <x:c r="I131" s="22" t="n">
        <x:f>MONTH(D131)</x:f>
        <x:v>7</x:v>
      </x:c>
      <x:c r="J131" s="22" t="n">
        <x:f>YEAR(D131)</x:f>
        <x:v>2022</x:v>
      </x:c>
      <x:c r="K131" t="str">
        <x:f>IF(F131&gt;200,"Large Order","Standard Order")</x:f>
        <x:v>Large Order</x:v>
      </x:c>
    </x:row>
    <x:row r="132">
      <x:c r="A132" t="str">
        <x:v>Kelci Walkden</x:v>
      </x:c>
      <x:c r="B132" t="str">
        <x:v>Canada</x:v>
      </x:c>
      <x:c r="C132" t="str">
        <x:v>99% Dark &amp; Pure</x:v>
      </x:c>
      <x:c r="D132" s="14" t="n">
        <x:v>44788</x:v>
      </x:c>
      <x:c r="E132" s="16" t="n">
        <x:v>4830</x:v>
      </x:c>
      <x:c r="F132" s="18" t="n">
        <x:v>50</x:v>
      </x:c>
      <x:c r="G132" s="20" t="n">
        <x:f>IFERROR(E132/F132,0)</x:f>
        <x:v>96.6</x:v>
      </x:c>
      <x:c r="H132" t="str">
        <x:f>TEXT(D132,"mmm")</x:f>
        <x:v>Aug</x:v>
      </x:c>
      <x:c r="I132" s="22" t="n">
        <x:f>MONTH(D132)</x:f>
        <x:v>8</x:v>
      </x:c>
      <x:c r="J132" s="22" t="n">
        <x:f>YEAR(D132)</x:f>
        <x:v>2022</x:v>
      </x:c>
      <x:c r="K132" t="str">
        <x:f>IF(F132&gt;200,"Large Order","Standard Order")</x:f>
        <x:v>Standard Order</x:v>
      </x:c>
    </x:row>
    <x:row r="133">
      <x:c r="A133" t="str">
        <x:v>Kaine Padly</x:v>
      </x:c>
      <x:c r="B133" t="str">
        <x:v>Australia</x:v>
      </x:c>
      <x:c r="C133" t="str">
        <x:v>Manuka Honey Choco</x:v>
      </x:c>
      <x:c r="D133" s="14" t="n">
        <x:v>44573</x:v>
      </x:c>
      <x:c r="E133" s="16" t="n">
        <x:v>2765</x:v>
      </x:c>
      <x:c r="F133" s="18" t="n">
        <x:v>264</x:v>
      </x:c>
      <x:c r="G133" s="20" t="n">
        <x:f>IFERROR(E133/F133,0)</x:f>
        <x:v>10.473484848484848</x:v>
      </x:c>
      <x:c r="H133" t="str">
        <x:f>TEXT(D133,"mmm")</x:f>
        <x:v>Jan</x:v>
      </x:c>
      <x:c r="I133" s="22" t="n">
        <x:f>MONTH(D133)</x:f>
        <x:v>1</x:v>
      </x:c>
      <x:c r="J133" s="22" t="n">
        <x:f>YEAR(D133)</x:f>
        <x:v>2022</x:v>
      </x:c>
      <x:c r="K133" t="str">
        <x:f>IF(F133&gt;200,"Large Order","Standard Order")</x:f>
        <x:v>Large Order</x:v>
      </x:c>
    </x:row>
    <x:row r="134">
      <x:c r="A134" t="str">
        <x:v>Beverie Moffet</x:v>
      </x:c>
      <x:c r="B134" t="str">
        <x:v>New Zealand</x:v>
      </x:c>
      <x:c r="C134" t="str">
        <x:v>White Choc</x:v>
      </x:c>
      <x:c r="D134" s="14" t="n">
        <x:v>44644</x:v>
      </x:c>
      <x:c r="E134" s="16" t="n">
        <x:v>7126</x:v>
      </x:c>
      <x:c r="F134" s="18" t="n">
        <x:v>7</x:v>
      </x:c>
      <x:c r="G134" s="20" t="n">
        <x:f>IFERROR(E134/F134,0)</x:f>
        <x:v>1018</x:v>
      </x:c>
      <x:c r="H134" t="str">
        <x:f>TEXT(D134,"mmm")</x:f>
        <x:v>Mar</x:v>
      </x:c>
      <x:c r="I134" s="22" t="n">
        <x:f>MONTH(D134)</x:f>
        <x:v>3</x:v>
      </x:c>
      <x:c r="J134" s="22" t="n">
        <x:f>YEAR(D134)</x:f>
        <x:v>2022</x:v>
      </x:c>
      <x:c r="K134" t="str">
        <x:f>IF(F134&gt;200,"Large Order","Standard Order")</x:f>
        <x:v>Standard Order</x:v>
      </x:c>
    </x:row>
    <x:row r="135">
      <x:c r="A135" t="str">
        <x:v>Van Tuxwell</x:v>
      </x:c>
      <x:c r="B135" t="str">
        <x:v>UK</x:v>
      </x:c>
      <x:c r="C135" t="str">
        <x:v>Milk Bars</x:v>
      </x:c>
      <x:c r="D135" s="14" t="n">
        <x:v>44767</x:v>
      </x:c>
      <x:c r="E135" s="16" t="n">
        <x:v>4263</x:v>
      </x:c>
      <x:c r="F135" s="18" t="n">
        <x:v>90</x:v>
      </x:c>
      <x:c r="G135" s="20" t="n">
        <x:f>IFERROR(E135/F135,0)</x:f>
        <x:v>47.36666666666667</x:v>
      </x:c>
      <x:c r="H135" t="str">
        <x:f>TEXT(D135,"mmm")</x:f>
        <x:v>Jul</x:v>
      </x:c>
      <x:c r="I135" s="22" t="n">
        <x:f>MONTH(D135)</x:f>
        <x:v>7</x:v>
      </x:c>
      <x:c r="J135" s="22" t="n">
        <x:f>YEAR(D135)</x:f>
        <x:v>2022</x:v>
      </x:c>
      <x:c r="K135" t="str">
        <x:f>IF(F135&gt;200,"Large Order","Standard Order")</x:f>
        <x:v>Standard Order</x:v>
      </x:c>
    </x:row>
    <x:row r="136">
      <x:c r="A136" t="str">
        <x:v>Oby Sorrel</x:v>
      </x:c>
      <x:c r="B136" t="str">
        <x:v>Canada</x:v>
      </x:c>
      <x:c r="C136" t="str">
        <x:v>99% Dark &amp; Pure</x:v>
      </x:c>
      <x:c r="D136" s="14" t="n">
        <x:v>44774</x:v>
      </x:c>
      <x:c r="E136" s="16" t="n">
        <x:v>3605</x:v>
      </x:c>
      <x:c r="F136" s="18" t="n">
        <x:v>403</x:v>
      </x:c>
      <x:c r="G136" s="20" t="n">
        <x:f>IFERROR(E136/F136,0)</x:f>
        <x:v>8.945409429280398</x:v>
      </x:c>
      <x:c r="H136" t="str">
        <x:f>TEXT(D136,"mmm")</x:f>
        <x:v>Aug</x:v>
      </x:c>
      <x:c r="I136" s="22" t="n">
        <x:f>MONTH(D136)</x:f>
        <x:v>8</x:v>
      </x:c>
      <x:c r="J136" s="22" t="n">
        <x:f>YEAR(D136)</x:f>
        <x:v>2022</x:v>
      </x:c>
      <x:c r="K136" t="str">
        <x:f>IF(F136&gt;200,"Large Order","Standard Order")</x:f>
        <x:v>Large Order</x:v>
      </x:c>
    </x:row>
    <x:row r="137">
      <x:c r="A137" t="str">
        <x:v>Van Tuxwell</x:v>
      </x:c>
      <x:c r="B137" t="str">
        <x:v>India</x:v>
      </x:c>
      <x:c r="C137" t="str">
        <x:v>Organic Choco Syrup</x:v>
      </x:c>
      <x:c r="D137" s="14" t="n">
        <x:v>44697</x:v>
      </x:c>
      <x:c r="E137" s="16" t="n">
        <x:v>19929</x:v>
      </x:c>
      <x:c r="F137" s="18" t="n">
        <x:v>174</x:v>
      </x:c>
      <x:c r="G137" s="20" t="n">
        <x:f>IFERROR(E137/F137,0)</x:f>
        <x:v>114.53448275862068</x:v>
      </x:c>
      <x:c r="H137" t="str">
        <x:f>TEXT(D137,"mmm")</x:f>
        <x:v>May</x:v>
      </x:c>
      <x:c r="I137" s="22" t="n">
        <x:f>MONTH(D137)</x:f>
        <x:v>5</x:v>
      </x:c>
      <x:c r="J137" s="22" t="n">
        <x:f>YEAR(D137)</x:f>
        <x:v>2022</x:v>
      </x:c>
      <x:c r="K137" t="str">
        <x:f>IF(F137&gt;200,"Large Order","Standard Order")</x:f>
        <x:v>Standard Order</x:v>
      </x:c>
    </x:row>
    <x:row r="138">
      <x:c r="A138" t="str">
        <x:v>Roddy Speechley</x:v>
      </x:c>
      <x:c r="B138" t="str">
        <x:v>India</x:v>
      </x:c>
      <x:c r="C138" t="str">
        <x:v>Smooth Silky Salty</x:v>
      </x:c>
      <x:c r="D138" s="14" t="n">
        <x:v>44783</x:v>
      </x:c>
      <x:c r="E138" s="16" t="n">
        <x:v>5103</x:v>
      </x:c>
      <x:c r="F138" s="18" t="n">
        <x:v>140</x:v>
      </x:c>
      <x:c r="G138" s="20" t="n">
        <x:f>IFERROR(E138/F138,0)</x:f>
        <x:v>36.45</x:v>
      </x:c>
      <x:c r="H138" t="str">
        <x:f>TEXT(D138,"mmm")</x:f>
        <x:v>Aug</x:v>
      </x:c>
      <x:c r="I138" s="22" t="n">
        <x:f>MONTH(D138)</x:f>
        <x:v>8</x:v>
      </x:c>
      <x:c r="J138" s="22" t="n">
        <x:f>YEAR(D138)</x:f>
        <x:v>2022</x:v>
      </x:c>
      <x:c r="K138" t="str">
        <x:f>IF(F138&gt;200,"Large Order","Standard Order")</x:f>
        <x:v>Standard Order</x:v>
      </x:c>
    </x:row>
    <x:row r="139">
      <x:c r="A139" t="str">
        <x:v>Jan Morforth</x:v>
      </x:c>
      <x:c r="B139" t="str">
        <x:v>India</x:v>
      </x:c>
      <x:c r="C139" t="str">
        <x:v>Eclairs</x:v>
      </x:c>
      <x:c r="D139" s="14" t="n">
        <x:v>44566</x:v>
      </x:c>
      <x:c r="E139" s="16" t="n">
        <x:v>2541</x:v>
      </x:c>
      <x:c r="F139" s="18" t="n">
        <x:v>27</x:v>
      </x:c>
      <x:c r="G139" s="20" t="n">
        <x:f>IFERROR(E139/F139,0)</x:f>
        <x:v>94.11111111111111</x:v>
      </x:c>
      <x:c r="H139" t="str">
        <x:f>TEXT(D139,"mmm")</x:f>
        <x:v>Jan</x:v>
      </x:c>
      <x:c r="I139" s="22" t="n">
        <x:f>MONTH(D139)</x:f>
        <x:v>1</x:v>
      </x:c>
      <x:c r="J139" s="22" t="n">
        <x:f>YEAR(D139)</x:f>
        <x:v>2022</x:v>
      </x:c>
      <x:c r="K139" t="str">
        <x:f>IF(F139&gt;200,"Large Order","Standard Order")</x:f>
        <x:v>Standard Order</x:v>
      </x:c>
    </x:row>
    <x:row r="140">
      <x:c r="A140" t="str">
        <x:v>Ches Bonnell</x:v>
      </x:c>
      <x:c r="B140" t="str">
        <x:v>UK</x:v>
      </x:c>
      <x:c r="C140" t="str">
        <x:v>Smooth Silky Salty</x:v>
      </x:c>
      <x:c r="D140" s="14" t="n">
        <x:v>44753</x:v>
      </x:c>
      <x:c r="E140" s="16" t="n">
        <x:v>5663</x:v>
      </x:c>
      <x:c r="F140" s="18" t="n">
        <x:v>110</x:v>
      </x:c>
      <x:c r="G140" s="20" t="n">
        <x:f>IFERROR(E140/F140,0)</x:f>
        <x:v>51.481818181818184</x:v>
      </x:c>
      <x:c r="H140" t="str">
        <x:f>TEXT(D140,"mmm")</x:f>
        <x:v>Jul</x:v>
      </x:c>
      <x:c r="I140" s="22" t="n">
        <x:f>MONTH(D140)</x:f>
        <x:v>7</x:v>
      </x:c>
      <x:c r="J140" s="22" t="n">
        <x:f>YEAR(D140)</x:f>
        <x:v>2022</x:v>
      </x:c>
      <x:c r="K140" t="str">
        <x:f>IF(F140&gt;200,"Large Order","Standard Order")</x:f>
        <x:v>Standard Order</x:v>
      </x:c>
    </x:row>
    <x:row r="141">
      <x:c r="A141" t="str">
        <x:v>Wilone O'Kielt</x:v>
      </x:c>
      <x:c r="B141" t="str">
        <x:v>USA</x:v>
      </x:c>
      <x:c r="C141" t="str">
        <x:v>After Nines</x:v>
      </x:c>
      <x:c r="D141" s="14" t="n">
        <x:v>44676</x:v>
      </x:c>
      <x:c r="E141" s="16" t="n">
        <x:v>392</x:v>
      </x:c>
      <x:c r="F141" s="18" t="n">
        <x:v>30</x:v>
      </x:c>
      <x:c r="G141" s="20" t="n">
        <x:f>IFERROR(E141/F141,0)</x:f>
        <x:v>13.066666666666666</x:v>
      </x:c>
      <x:c r="H141" t="str">
        <x:f>TEXT(D141,"mmm")</x:f>
        <x:v>Apr</x:v>
      </x:c>
      <x:c r="I141" s="22" t="n">
        <x:f>MONTH(D141)</x:f>
        <x:v>4</x:v>
      </x:c>
      <x:c r="J141" s="22" t="n">
        <x:f>YEAR(D141)</x:f>
        <x:v>2022</x:v>
      </x:c>
      <x:c r="K141" t="str">
        <x:f>IF(F141&gt;200,"Large Order","Standard Order")</x:f>
        <x:v>Standard Order</x:v>
      </x:c>
    </x:row>
    <x:row r="142">
      <x:c r="A142" t="str">
        <x:v>Gigi Bohling</x:v>
      </x:c>
      <x:c r="B142" t="str">
        <x:v>New Zealand</x:v>
      </x:c>
      <x:c r="C142" t="str">
        <x:v>Fruit &amp; Nut Bars</x:v>
      </x:c>
      <x:c r="D142" s="14" t="n">
        <x:v>44655</x:v>
      </x:c>
      <x:c r="E142" s="16" t="n">
        <x:v>10976</x:v>
      </x:c>
      <x:c r="F142" s="18" t="n">
        <x:v>121</x:v>
      </x:c>
      <x:c r="G142" s="20" t="n">
        <x:f>IFERROR(E142/F142,0)</x:f>
        <x:v>90.7107438016529</x:v>
      </x:c>
      <x:c r="H142" t="str">
        <x:f>TEXT(D142,"mmm")</x:f>
        <x:v>Apr</x:v>
      </x:c>
      <x:c r="I142" s="22" t="n">
        <x:f>MONTH(D142)</x:f>
        <x:v>4</x:v>
      </x:c>
      <x:c r="J142" s="22" t="n">
        <x:f>YEAR(D142)</x:f>
        <x:v>2022</x:v>
      </x:c>
      <x:c r="K142" t="str">
        <x:f>IF(F142&gt;200,"Large Order","Standard Order")</x:f>
        <x:v>Standard Order</x:v>
      </x:c>
    </x:row>
    <x:row r="143">
      <x:c r="A143" t="str">
        <x:v>Barr Faughny</x:v>
      </x:c>
      <x:c r="B143" t="str">
        <x:v>USA</x:v>
      </x:c>
      <x:c r="C143" t="str">
        <x:v>Raspberry Choco</x:v>
      </x:c>
      <x:c r="D143" s="14" t="n">
        <x:v>44663</x:v>
      </x:c>
      <x:c r="E143" s="16" t="n">
        <x:v>9282</x:v>
      </x:c>
      <x:c r="F143" s="18" t="n">
        <x:v>101</x:v>
      </x:c>
      <x:c r="G143" s="20" t="n">
        <x:f>IFERROR(E143/F143,0)</x:f>
        <x:v>91.9009900990099</x:v>
      </x:c>
      <x:c r="H143" t="str">
        <x:f>TEXT(D143,"mmm")</x:f>
        <x:v>Apr</x:v>
      </x:c>
      <x:c r="I143" s="22" t="n">
        <x:f>MONTH(D143)</x:f>
        <x:v>4</x:v>
      </x:c>
      <x:c r="J143" s="22" t="n">
        <x:f>YEAR(D143)</x:f>
        <x:v>2022</x:v>
      </x:c>
      <x:c r="K143" t="str">
        <x:f>IF(F143&gt;200,"Large Order","Standard Order")</x:f>
        <x:v>Standard Order</x:v>
      </x:c>
    </x:row>
    <x:row r="144">
      <x:c r="A144" t="str">
        <x:v>Wilone O'Kielt</x:v>
      </x:c>
      <x:c r="B144" t="str">
        <x:v>New Zealand</x:v>
      </x:c>
      <x:c r="C144" t="str">
        <x:v>85% Dark Bars</x:v>
      </x:c>
      <x:c r="D144" s="14" t="n">
        <x:v>44775</x:v>
      </x:c>
      <x:c r="E144" s="16" t="n">
        <x:v>1827</x:v>
      </x:c>
      <x:c r="F144" s="18" t="n">
        <x:v>117</x:v>
      </x:c>
      <x:c r="G144" s="20" t="n">
        <x:f>IFERROR(E144/F144,0)</x:f>
        <x:v>15.615384615384615</x:v>
      </x:c>
      <x:c r="H144" t="str">
        <x:f>TEXT(D144,"mmm")</x:f>
        <x:v>Aug</x:v>
      </x:c>
      <x:c r="I144" s="22" t="n">
        <x:f>MONTH(D144)</x:f>
        <x:v>8</x:v>
      </x:c>
      <x:c r="J144" s="22" t="n">
        <x:f>YEAR(D144)</x:f>
        <x:v>2022</x:v>
      </x:c>
      <x:c r="K144" t="str">
        <x:f>IF(F144&gt;200,"Large Order","Standard Order")</x:f>
        <x:v>Standard Order</x:v>
      </x:c>
    </x:row>
    <x:row r="145">
      <x:c r="A145" t="str">
        <x:v>Gigi Bohling</x:v>
      </x:c>
      <x:c r="B145" t="str">
        <x:v>New Zealand</x:v>
      </x:c>
      <x:c r="C145" t="str">
        <x:v>Manuka Honey Choco</x:v>
      </x:c>
      <x:c r="D145" s="14" t="n">
        <x:v>44740</x:v>
      </x:c>
      <x:c r="E145" s="16" t="n">
        <x:v>8267</x:v>
      </x:c>
      <x:c r="F145" s="18" t="n">
        <x:v>272</x:v>
      </x:c>
      <x:c r="G145" s="20" t="n">
        <x:f>IFERROR(E145/F145,0)</x:f>
        <x:v>30.393382352941178</x:v>
      </x:c>
      <x:c r="H145" t="str">
        <x:f>TEXT(D145,"mmm")</x:f>
        <x:v>Jun</x:v>
      </x:c>
      <x:c r="I145" s="22" t="n">
        <x:f>MONTH(D145)</x:f>
        <x:v>6</x:v>
      </x:c>
      <x:c r="J145" s="22" t="n">
        <x:f>YEAR(D145)</x:f>
        <x:v>2022</x:v>
      </x:c>
      <x:c r="K145" t="str">
        <x:f>IF(F145&gt;200,"Large Order","Standard Order")</x:f>
        <x:v>Large Order</x:v>
      </x:c>
    </x:row>
    <x:row r="146">
      <x:c r="A146" t="str">
        <x:v>Ches Bonnell</x:v>
      </x:c>
      <x:c r="B146" t="str">
        <x:v>Australia</x:v>
      </x:c>
      <x:c r="C146" t="str">
        <x:v>Eclairs</x:v>
      </x:c>
      <x:c r="D146" s="14" t="n">
        <x:v>44747</x:v>
      </x:c>
      <x:c r="E146" s="16" t="n">
        <x:v>4116</x:v>
      </x:c>
      <x:c r="F146" s="18" t="n">
        <x:v>128</x:v>
      </x:c>
      <x:c r="G146" s="20" t="n">
        <x:f>IFERROR(E146/F146,0)</x:f>
        <x:v>32.15625</x:v>
      </x:c>
      <x:c r="H146" t="str">
        <x:f>TEXT(D146,"mmm")</x:f>
        <x:v>Jul</x:v>
      </x:c>
      <x:c r="I146" s="22" t="n">
        <x:f>MONTH(D146)</x:f>
        <x:v>7</x:v>
      </x:c>
      <x:c r="J146" s="22" t="n">
        <x:f>YEAR(D146)</x:f>
        <x:v>2022</x:v>
      </x:c>
      <x:c r="K146" t="str">
        <x:f>IF(F146&gt;200,"Large Order","Standard Order")</x:f>
        <x:v>Standard Order</x:v>
      </x:c>
    </x:row>
    <x:row r="147">
      <x:c r="A147" t="str">
        <x:v>Rafaelita Blaksland</x:v>
      </x:c>
      <x:c r="B147" t="str">
        <x:v>New Zealand</x:v>
      </x:c>
      <x:c r="C147" t="str">
        <x:v>Choco Coated Almonds</x:v>
      </x:c>
      <x:c r="D147" s="14" t="n">
        <x:v>44719</x:v>
      </x:c>
      <x:c r="E147" s="16" t="n">
        <x:v>2093</x:v>
      </x:c>
      <x:c r="F147" s="18" t="n">
        <x:v>45</x:v>
      </x:c>
      <x:c r="G147" s="20" t="n">
        <x:f>IFERROR(E147/F147,0)</x:f>
        <x:v>46.51111111111111</x:v>
      </x:c>
      <x:c r="H147" t="str">
        <x:f>TEXT(D147,"mmm")</x:f>
        <x:v>Jun</x:v>
      </x:c>
      <x:c r="I147" s="22" t="n">
        <x:f>MONTH(D147)</x:f>
        <x:v>6</x:v>
      </x:c>
      <x:c r="J147" s="22" t="n">
        <x:f>YEAR(D147)</x:f>
        <x:v>2022</x:v>
      </x:c>
      <x:c r="K147" t="str">
        <x:f>IF(F147&gt;200,"Large Order","Standard Order")</x:f>
        <x:v>Standard Order</x:v>
      </x:c>
    </x:row>
    <x:row r="148">
      <x:c r="A148" t="str">
        <x:v>Brien Boise</x:v>
      </x:c>
      <x:c r="B148" t="str">
        <x:v>New Zealand</x:v>
      </x:c>
      <x:c r="C148" t="str">
        <x:v>Smooth Silky Salty</x:v>
      </x:c>
      <x:c r="D148" s="14" t="n">
        <x:v>44579</x:v>
      </x:c>
      <x:c r="E148" s="16" t="n">
        <x:v>1015</x:v>
      </x:c>
      <x:c r="F148" s="18" t="n">
        <x:v>27</x:v>
      </x:c>
      <x:c r="G148" s="20" t="n">
        <x:f>IFERROR(E148/F148,0)</x:f>
        <x:v>37.592592592592595</x:v>
      </x:c>
      <x:c r="H148" t="str">
        <x:f>TEXT(D148,"mmm")</x:f>
        <x:v>Jan</x:v>
      </x:c>
      <x:c r="I148" s="22" t="n">
        <x:f>MONTH(D148)</x:f>
        <x:v>1</x:v>
      </x:c>
      <x:c r="J148" s="22" t="n">
        <x:f>YEAR(D148)</x:f>
        <x:v>2022</x:v>
      </x:c>
      <x:c r="K148" t="str">
        <x:f>IF(F148&gt;200,"Large Order","Standard Order")</x:f>
        <x:v>Standard Order</x:v>
      </x:c>
    </x:row>
    <x:row r="149">
      <x:c r="A149" t="str">
        <x:v>Brien Boise</x:v>
      </x:c>
      <x:c r="B149" t="str">
        <x:v>Australia</x:v>
      </x:c>
      <x:c r="C149" t="str">
        <x:v>Baker's Choco Chips</x:v>
      </x:c>
      <x:c r="D149" s="14" t="n">
        <x:v>44565</x:v>
      </x:c>
      <x:c r="E149" s="16" t="n">
        <x:v>12516</x:v>
      </x:c>
      <x:c r="F149" s="18" t="n">
        <x:v>212</x:v>
      </x:c>
      <x:c r="G149" s="20" t="n">
        <x:f>IFERROR(E149/F149,0)</x:f>
        <x:v>59.0377358490566</x:v>
      </x:c>
      <x:c r="H149" t="str">
        <x:f>TEXT(D149,"mmm")</x:f>
        <x:v>Jan</x:v>
      </x:c>
      <x:c r="I149" s="22" t="n">
        <x:f>MONTH(D149)</x:f>
        <x:v>1</x:v>
      </x:c>
      <x:c r="J149" s="22" t="n">
        <x:f>YEAR(D149)</x:f>
        <x:v>2022</x:v>
      </x:c>
      <x:c r="K149" t="str">
        <x:f>IF(F149&gt;200,"Large Order","Standard Order")</x:f>
        <x:v>Large Order</x:v>
      </x:c>
    </x:row>
    <x:row r="150">
      <x:c r="A150" t="str">
        <x:v>Dennison Crosswaite</x:v>
      </x:c>
      <x:c r="B150" t="str">
        <x:v>Australia</x:v>
      </x:c>
      <x:c r="C150" t="str">
        <x:v>99% Dark &amp; Pure</x:v>
      </x:c>
      <x:c r="D150" s="14" t="n">
        <x:v>44592</x:v>
      </x:c>
      <x:c r="E150" s="16" t="n">
        <x:v>2758</x:v>
      </x:c>
      <x:c r="F150" s="18" t="n">
        <x:v>18</x:v>
      </x:c>
      <x:c r="G150" s="20" t="n">
        <x:f>IFERROR(E150/F150,0)</x:f>
        <x:v>153.22222222222223</x:v>
      </x:c>
      <x:c r="H150" t="str">
        <x:f>TEXT(D150,"mmm")</x:f>
        <x:v>Jan</x:v>
      </x:c>
      <x:c r="I150" s="22" t="n">
        <x:f>MONTH(D150)</x:f>
        <x:v>1</x:v>
      </x:c>
      <x:c r="J150" s="22" t="n">
        <x:f>YEAR(D150)</x:f>
        <x:v>2022</x:v>
      </x:c>
      <x:c r="K150" t="str">
        <x:f>IF(F150&gt;200,"Large Order","Standard Order")</x:f>
        <x:v>Standard Order</x:v>
      </x:c>
    </x:row>
    <x:row r="151">
      <x:c r="A151" t="str">
        <x:v>Kelci Walkden</x:v>
      </x:c>
      <x:c r="B151" t="str">
        <x:v>India</x:v>
      </x:c>
      <x:c r="C151" t="str">
        <x:v>Almond Choco</x:v>
      </x:c>
      <x:c r="D151" s="14" t="n">
        <x:v>44634</x:v>
      </x:c>
      <x:c r="E151" s="16" t="n">
        <x:v>3297</x:v>
      </x:c>
      <x:c r="F151" s="18" t="n">
        <x:v>149</x:v>
      </x:c>
      <x:c r="G151" s="20" t="n">
        <x:f>IFERROR(E151/F151,0)</x:f>
        <x:v>22.12751677852349</x:v>
      </x:c>
      <x:c r="H151" t="str">
        <x:f>TEXT(D151,"mmm")</x:f>
        <x:v>Mar</x:v>
      </x:c>
      <x:c r="I151" s="22" t="n">
        <x:f>MONTH(D151)</x:f>
        <x:v>3</x:v>
      </x:c>
      <x:c r="J151" s="22" t="n">
        <x:f>YEAR(D151)</x:f>
        <x:v>2022</x:v>
      </x:c>
      <x:c r="K151" t="str">
        <x:f>IF(F151&gt;200,"Large Order","Standard Order")</x:f>
        <x:v>Standard Order</x:v>
      </x:c>
    </x:row>
    <x:row r="152">
      <x:c r="A152" t="str">
        <x:v>Camilla Castle</x:v>
      </x:c>
      <x:c r="B152" t="str">
        <x:v>Australia</x:v>
      </x:c>
      <x:c r="C152" t="str">
        <x:v>70% Dark Bites</x:v>
      </x:c>
      <x:c r="D152" s="14" t="n">
        <x:v>44680</x:v>
      </x:c>
      <x:c r="E152" s="16" t="n">
        <x:v>6048</x:v>
      </x:c>
      <x:c r="F152" s="18" t="n">
        <x:v>477</x:v>
      </x:c>
      <x:c r="G152" s="20" t="n">
        <x:f>IFERROR(E152/F152,0)</x:f>
        <x:v>12.679245283018869</x:v>
      </x:c>
      <x:c r="H152" t="str">
        <x:f>TEXT(D152,"mmm")</x:f>
        <x:v>Apr</x:v>
      </x:c>
      <x:c r="I152" s="22" t="n">
        <x:f>MONTH(D152)</x:f>
        <x:v>4</x:v>
      </x:c>
      <x:c r="J152" s="22" t="n">
        <x:f>YEAR(D152)</x:f>
        <x:v>2022</x:v>
      </x:c>
      <x:c r="K152" t="str">
        <x:f>IF(F152&gt;200,"Large Order","Standard Order")</x:f>
        <x:v>Large Order</x:v>
      </x:c>
    </x:row>
    <x:row r="153">
      <x:c r="A153" t="str">
        <x:v>Oby Sorrel</x:v>
      </x:c>
      <x:c r="B153" t="str">
        <x:v>India</x:v>
      </x:c>
      <x:c r="C153" t="str">
        <x:v>Smooth Silky Salty</x:v>
      </x:c>
      <x:c r="D153" s="14" t="n">
        <x:v>44599</x:v>
      </x:c>
      <x:c r="E153" s="16" t="n">
        <x:v>10101</x:v>
      </x:c>
      <x:c r="F153" s="18" t="n">
        <x:v>108</x:v>
      </x:c>
      <x:c r="G153" s="20" t="n">
        <x:f>IFERROR(E153/F153,0)</x:f>
        <x:v>93.52777777777777</x:v>
      </x:c>
      <x:c r="H153" t="str">
        <x:f>TEXT(D153,"mmm")</x:f>
        <x:v>Feb</x:v>
      </x:c>
      <x:c r="I153" s="22" t="n">
        <x:f>MONTH(D153)</x:f>
        <x:v>2</x:v>
      </x:c>
      <x:c r="J153" s="22" t="n">
        <x:f>YEAR(D153)</x:f>
        <x:v>2022</x:v>
      </x:c>
      <x:c r="K153" t="str">
        <x:f>IF(F153&gt;200,"Large Order","Standard Order")</x:f>
        <x:v>Standard Order</x:v>
      </x:c>
    </x:row>
    <x:row r="154">
      <x:c r="A154" t="str">
        <x:v>Kaine Padly</x:v>
      </x:c>
      <x:c r="B154" t="str">
        <x:v>UK</x:v>
      </x:c>
      <x:c r="C154" t="str">
        <x:v>Organic Choco Syrup</x:v>
      </x:c>
      <x:c r="D154" s="14" t="n">
        <x:v>44651</x:v>
      </x:c>
      <x:c r="E154" s="16" t="n">
        <x:v>2282</x:v>
      </x:c>
      <x:c r="F154" s="18" t="n">
        <x:v>178</x:v>
      </x:c>
      <x:c r="G154" s="20" t="n">
        <x:f>IFERROR(E154/F154,0)</x:f>
        <x:v>12.820224719101123</x:v>
      </x:c>
      <x:c r="H154" t="str">
        <x:f>TEXT(D154,"mmm")</x:f>
        <x:v>Mar</x:v>
      </x:c>
      <x:c r="I154" s="22" t="n">
        <x:f>MONTH(D154)</x:f>
        <x:v>3</x:v>
      </x:c>
      <x:c r="J154" s="22" t="n">
        <x:f>YEAR(D154)</x:f>
        <x:v>2022</x:v>
      </x:c>
      <x:c r="K154" t="str">
        <x:f>IF(F154&gt;200,"Large Order","Standard Order")</x:f>
        <x:v>Standard Order</x:v>
      </x:c>
    </x:row>
    <x:row r="155">
      <x:c r="A155" t="str">
        <x:v>Marney O'Breen</x:v>
      </x:c>
      <x:c r="B155" t="str">
        <x:v>India</x:v>
      </x:c>
      <x:c r="C155" t="str">
        <x:v>Caramel Stuffed Bars</x:v>
      </x:c>
      <x:c r="D155" s="14" t="n">
        <x:v>44636</x:v>
      </x:c>
      <x:c r="E155" s="16" t="n">
        <x:v>4361</x:v>
      </x:c>
      <x:c r="F155" s="18" t="n">
        <x:v>81</x:v>
      </x:c>
      <x:c r="G155" s="20" t="n">
        <x:f>IFERROR(E155/F155,0)</x:f>
        <x:v>53.839506172839506</x:v>
      </x:c>
      <x:c r="H155" t="str">
        <x:f>TEXT(D155,"mmm")</x:f>
        <x:v>Mar</x:v>
      </x:c>
      <x:c r="I155" s="22" t="n">
        <x:f>MONTH(D155)</x:f>
        <x:v>3</x:v>
      </x:c>
      <x:c r="J155" s="22" t="n">
        <x:f>YEAR(D155)</x:f>
        <x:v>2022</x:v>
      </x:c>
      <x:c r="K155" t="str">
        <x:f>IF(F155&gt;200,"Large Order","Standard Order")</x:f>
        <x:v>Standard Order</x:v>
      </x:c>
    </x:row>
    <x:row r="156">
      <x:c r="A156" t="str">
        <x:v>Karlen McCaffrey</x:v>
      </x:c>
      <x:c r="B156" t="str">
        <x:v>UK</x:v>
      </x:c>
      <x:c r="C156" t="str">
        <x:v>Eclairs</x:v>
      </x:c>
      <x:c r="D156" s="14" t="n">
        <x:v>44586</x:v>
      </x:c>
      <x:c r="E156" s="16" t="n">
        <x:v>7798</x:v>
      </x:c>
      <x:c r="F156" s="18" t="n">
        <x:v>196</x:v>
      </x:c>
      <x:c r="G156" s="20" t="n">
        <x:f>IFERROR(E156/F156,0)</x:f>
        <x:v>39.785714285714285</x:v>
      </x:c>
      <x:c r="H156" t="str">
        <x:f>TEXT(D156,"mmm")</x:f>
        <x:v>Jan</x:v>
      </x:c>
      <x:c r="I156" s="22" t="n">
        <x:f>MONTH(D156)</x:f>
        <x:v>1</x:v>
      </x:c>
      <x:c r="J156" s="22" t="n">
        <x:f>YEAR(D156)</x:f>
        <x:v>2022</x:v>
      </x:c>
      <x:c r="K156" t="str">
        <x:f>IF(F156&gt;200,"Large Order","Standard Order")</x:f>
        <x:v>Standard Order</x:v>
      </x:c>
    </x:row>
    <x:row r="157">
      <x:c r="A157" t="str">
        <x:v>Van Tuxwell</x:v>
      </x:c>
      <x:c r="B157" t="str">
        <x:v>India</x:v>
      </x:c>
      <x:c r="C157" t="str">
        <x:v>Baker's Choco Chips</x:v>
      </x:c>
      <x:c r="D157" s="14" t="n">
        <x:v>44732</x:v>
      </x:c>
      <x:c r="E157" s="16" t="n">
        <x:v>3052</x:v>
      </x:c>
      <x:c r="F157" s="18" t="n">
        <x:v>447</x:v>
      </x:c>
      <x:c r="G157" s="20" t="n">
        <x:f>IFERROR(E157/F157,0)</x:f>
        <x:v>6.827740492170022</x:v>
      </x:c>
      <x:c r="H157" t="str">
        <x:f>TEXT(D157,"mmm")</x:f>
        <x:v>Jun</x:v>
      </x:c>
      <x:c r="I157" s="22" t="n">
        <x:f>MONTH(D157)</x:f>
        <x:v>6</x:v>
      </x:c>
      <x:c r="J157" s="22" t="n">
        <x:f>YEAR(D157)</x:f>
        <x:v>2022</x:v>
      </x:c>
      <x:c r="K157" t="str">
        <x:f>IF(F157&gt;200,"Large Order","Standard Order")</x:f>
        <x:v>Large Order</x:v>
      </x:c>
    </x:row>
    <x:row r="158">
      <x:c r="A158" t="str">
        <x:v>Gigi Bohling</x:v>
      </x:c>
      <x:c r="B158" t="str">
        <x:v>UK</x:v>
      </x:c>
      <x:c r="C158" t="str">
        <x:v>After Nines</x:v>
      </x:c>
      <x:c r="D158" s="14" t="n">
        <x:v>44649</x:v>
      </x:c>
      <x:c r="E158" s="16" t="n">
        <x:v>8029</x:v>
      </x:c>
      <x:c r="F158" s="18" t="n">
        <x:v>175</x:v>
      </x:c>
      <x:c r="G158" s="20" t="n">
        <x:f>IFERROR(E158/F158,0)</x:f>
        <x:v>45.88</x:v>
      </x:c>
      <x:c r="H158" t="str">
        <x:f>TEXT(D158,"mmm")</x:f>
        <x:v>Mar</x:v>
      </x:c>
      <x:c r="I158" s="22" t="n">
        <x:f>MONTH(D158)</x:f>
        <x:v>3</x:v>
      </x:c>
      <x:c r="J158" s="22" t="n">
        <x:f>YEAR(D158)</x:f>
        <x:v>2022</x:v>
      </x:c>
      <x:c r="K158" t="str">
        <x:f>IF(F158&gt;200,"Large Order","Standard Order")</x:f>
        <x:v>Standard Order</x:v>
      </x:c>
    </x:row>
    <x:row r="159">
      <x:c r="A159" t="str">
        <x:v>Curtice Advani</x:v>
      </x:c>
      <x:c r="B159" t="str">
        <x:v>Australia</x:v>
      </x:c>
      <x:c r="C159" t="str">
        <x:v>Orange Choco</x:v>
      </x:c>
      <x:c r="D159" s="14" t="n">
        <x:v>44754</x:v>
      </x:c>
      <x:c r="E159" s="16" t="n">
        <x:v>854</x:v>
      </x:c>
      <x:c r="F159" s="18" t="n">
        <x:v>136</x:v>
      </x:c>
      <x:c r="G159" s="20" t="n">
        <x:f>IFERROR(E159/F159,0)</x:f>
        <x:v>6.279411764705882</x:v>
      </x:c>
      <x:c r="H159" t="str">
        <x:f>TEXT(D159,"mmm")</x:f>
        <x:v>Jul</x:v>
      </x:c>
      <x:c r="I159" s="22" t="n">
        <x:f>MONTH(D159)</x:f>
        <x:v>7</x:v>
      </x:c>
      <x:c r="J159" s="22" t="n">
        <x:f>YEAR(D159)</x:f>
        <x:v>2022</x:v>
      </x:c>
      <x:c r="K159" t="str">
        <x:f>IF(F159&gt;200,"Large Order","Standard Order")</x:f>
        <x:v>Standard Order</x:v>
      </x:c>
    </x:row>
    <x:row r="160">
      <x:c r="A160" t="str">
        <x:v>Jehu Rudeforth</x:v>
      </x:c>
      <x:c r="B160" t="str">
        <x:v>Canada</x:v>
      </x:c>
      <x:c r="C160" t="str">
        <x:v>Smooth Silky Salty</x:v>
      </x:c>
      <x:c r="D160" s="14" t="n">
        <x:v>44753</x:v>
      </x:c>
      <x:c r="E160" s="16" t="n">
        <x:v>5460</x:v>
      </x:c>
      <x:c r="F160" s="18" t="n">
        <x:v>138</x:v>
      </x:c>
      <x:c r="G160" s="20" t="n">
        <x:f>IFERROR(E160/F160,0)</x:f>
        <x:v>39.56521739130435</x:v>
      </x:c>
      <x:c r="H160" t="str">
        <x:f>TEXT(D160,"mmm")</x:f>
        <x:v>Jul</x:v>
      </x:c>
      <x:c r="I160" s="22" t="n">
        <x:f>MONTH(D160)</x:f>
        <x:v>7</x:v>
      </x:c>
      <x:c r="J160" s="22" t="n">
        <x:f>YEAR(D160)</x:f>
        <x:v>2022</x:v>
      </x:c>
      <x:c r="K160" t="str">
        <x:f>IF(F160&gt;200,"Large Order","Standard Order")</x:f>
        <x:v>Standard Order</x:v>
      </x:c>
    </x:row>
    <x:row r="161">
      <x:c r="A161" t="str">
        <x:v>Karlen McCaffrey</x:v>
      </x:c>
      <x:c r="B161" t="str">
        <x:v>Canada</x:v>
      </x:c>
      <x:c r="C161" t="str">
        <x:v>Smooth Silky Salty</x:v>
      </x:c>
      <x:c r="D161" s="14" t="n">
        <x:v>44580</x:v>
      </x:c>
      <x:c r="E161" s="16" t="n">
        <x:v>3017</x:v>
      </x:c>
      <x:c r="F161" s="18" t="n">
        <x:v>184</x:v>
      </x:c>
      <x:c r="G161" s="20" t="n">
        <x:f>IFERROR(E161/F161,0)</x:f>
        <x:v>16.39673913043478</x:v>
      </x:c>
      <x:c r="H161" t="str">
        <x:f>TEXT(D161,"mmm")</x:f>
        <x:v>Jan</x:v>
      </x:c>
      <x:c r="I161" s="22" t="n">
        <x:f>MONTH(D161)</x:f>
        <x:v>1</x:v>
      </x:c>
      <x:c r="J161" s="22" t="n">
        <x:f>YEAR(D161)</x:f>
        <x:v>2022</x:v>
      </x:c>
      <x:c r="K161" t="str">
        <x:f>IF(F161&gt;200,"Large Order","Standard Order")</x:f>
        <x:v>Standard Order</x:v>
      </x:c>
    </x:row>
    <x:row r="162">
      <x:c r="A162" t="str">
        <x:v>Andria Kimpton</x:v>
      </x:c>
      <x:c r="B162" t="str">
        <x:v>USA</x:v>
      </x:c>
      <x:c r="C162" t="str">
        <x:v>85% Dark Bars</x:v>
      </x:c>
      <x:c r="D162" s="14" t="n">
        <x:v>44656</x:v>
      </x:c>
      <x:c r="E162" s="16" t="n">
        <x:v>8911</x:v>
      </x:c>
      <x:c r="F162" s="18" t="n">
        <x:v>82</x:v>
      </x:c>
      <x:c r="G162" s="20" t="n">
        <x:f>IFERROR(E162/F162,0)</x:f>
        <x:v>108.67073170731707</x:v>
      </x:c>
      <x:c r="H162" t="str">
        <x:f>TEXT(D162,"mmm")</x:f>
        <x:v>Apr</x:v>
      </x:c>
      <x:c r="I162" s="22" t="n">
        <x:f>MONTH(D162)</x:f>
        <x:v>4</x:v>
      </x:c>
      <x:c r="J162" s="22" t="n">
        <x:f>YEAR(D162)</x:f>
        <x:v>2022</x:v>
      </x:c>
      <x:c r="K162" t="str">
        <x:f>IF(F162&gt;200,"Large Order","Standard Order")</x:f>
        <x:v>Standard Order</x:v>
      </x:c>
    </x:row>
    <x:row r="163">
      <x:c r="A163" t="str">
        <x:v>Jehu Rudeforth</x:v>
      </x:c>
      <x:c r="B163" t="str">
        <x:v>Canada</x:v>
      </x:c>
      <x:c r="C163" t="str">
        <x:v>Milk Bars</x:v>
      </x:c>
      <x:c r="D163" s="14" t="n">
        <x:v>44613</x:v>
      </x:c>
      <x:c r="E163" s="16" t="n">
        <x:v>7203</x:v>
      </x:c>
      <x:c r="F163" s="18" t="n">
        <x:v>12</x:v>
      </x:c>
      <x:c r="G163" s="20" t="n">
        <x:f>IFERROR(E163/F163,0)</x:f>
        <x:v>600.25</x:v>
      </x:c>
      <x:c r="H163" t="str">
        <x:f>TEXT(D163,"mmm")</x:f>
        <x:v>Feb</x:v>
      </x:c>
      <x:c r="I163" s="22" t="n">
        <x:f>MONTH(D163)</x:f>
        <x:v>2</x:v>
      </x:c>
      <x:c r="J163" s="22" t="n">
        <x:f>YEAR(D163)</x:f>
        <x:v>2022</x:v>
      </x:c>
      <x:c r="K163" t="str">
        <x:f>IF(F163&gt;200,"Large Order","Standard Order")</x:f>
        <x:v>Standard Order</x:v>
      </x:c>
    </x:row>
    <x:row r="164">
      <x:c r="A164" t="str">
        <x:v>Rafaelita Blaksland</x:v>
      </x:c>
      <x:c r="B164" t="str">
        <x:v>New Zealand</x:v>
      </x:c>
      <x:c r="C164" t="str">
        <x:v>Caramel Stuffed Bars</x:v>
      </x:c>
      <x:c r="D164" s="14" t="n">
        <x:v>44701</x:v>
      </x:c>
      <x:c r="E164" s="16" t="n">
        <x:v>13083</x:v>
      </x:c>
      <x:c r="F164" s="18" t="n">
        <x:v>14</x:v>
      </x:c>
      <x:c r="G164" s="20" t="n">
        <x:f>IFERROR(E164/F164,0)</x:f>
        <x:v>934.5</x:v>
      </x:c>
      <x:c r="H164" t="str">
        <x:f>TEXT(D164,"mmm")</x:f>
        <x:v>May</x:v>
      </x:c>
      <x:c r="I164" s="22" t="n">
        <x:f>MONTH(D164)</x:f>
        <x:v>5</x:v>
      </x:c>
      <x:c r="J164" s="22" t="n">
        <x:f>YEAR(D164)</x:f>
        <x:v>2022</x:v>
      </x:c>
      <x:c r="K164" t="str">
        <x:f>IF(F164&gt;200,"Large Order","Standard Order")</x:f>
        <x:v>Standard Order</x:v>
      </x:c>
    </x:row>
    <x:row r="165">
      <x:c r="A165" t="str">
        <x:v>Mallorie Waber</x:v>
      </x:c>
      <x:c r="B165" t="str">
        <x:v>Australia</x:v>
      </x:c>
      <x:c r="C165" t="str">
        <x:v>Milk Bars</x:v>
      </x:c>
      <x:c r="D165" s="14" t="n">
        <x:v>44771</x:v>
      </x:c>
      <x:c r="E165" s="16" t="n">
        <x:v>2779</x:v>
      </x:c>
      <x:c r="F165" s="18" t="n">
        <x:v>104</x:v>
      </x:c>
      <x:c r="G165" s="20" t="n">
        <x:f>IFERROR(E165/F165,0)</x:f>
        <x:v>26.721153846153847</x:v>
      </x:c>
      <x:c r="H165" t="str">
        <x:f>TEXT(D165,"mmm")</x:f>
        <x:v>Jul</x:v>
      </x:c>
      <x:c r="I165" s="22" t="n">
        <x:f>MONTH(D165)</x:f>
        <x:v>7</x:v>
      </x:c>
      <x:c r="J165" s="22" t="n">
        <x:f>YEAR(D165)</x:f>
        <x:v>2022</x:v>
      </x:c>
      <x:c r="K165" t="str">
        <x:f>IF(F165&gt;200,"Large Order","Standard Order")</x:f>
        <x:v>Standard Order</x:v>
      </x:c>
    </x:row>
    <x:row r="166">
      <x:c r="A166" t="str">
        <x:v>Barr Faughny</x:v>
      </x:c>
      <x:c r="B166" t="str">
        <x:v>USA</x:v>
      </x:c>
      <x:c r="C166" t="str">
        <x:v>Fruit &amp; Nut Bars</x:v>
      </x:c>
      <x:c r="D166" s="14" t="n">
        <x:v>44589</x:v>
      </x:c>
      <x:c r="E166" s="16" t="n">
        <x:v>9058</x:v>
      </x:c>
      <x:c r="F166" s="18" t="n">
        <x:v>46</x:v>
      </x:c>
      <x:c r="G166" s="20" t="n">
        <x:f>IFERROR(E166/F166,0)</x:f>
        <x:v>196.91304347826087</x:v>
      </x:c>
      <x:c r="H166" t="str">
        <x:f>TEXT(D166,"mmm")</x:f>
        <x:v>Jan</x:v>
      </x:c>
      <x:c r="I166" s="22" t="n">
        <x:f>MONTH(D166)</x:f>
        <x:v>1</x:v>
      </x:c>
      <x:c r="J166" s="22" t="n">
        <x:f>YEAR(D166)</x:f>
        <x:v>2022</x:v>
      </x:c>
      <x:c r="K166" t="str">
        <x:f>IF(F166&gt;200,"Large Order","Standard Order")</x:f>
        <x:v>Standard Order</x:v>
      </x:c>
    </x:row>
    <x:row r="167">
      <x:c r="A167" t="str">
        <x:v>Marney O'Breen</x:v>
      </x:c>
      <x:c r="B167" t="str">
        <x:v>UK</x:v>
      </x:c>
      <x:c r="C167" t="str">
        <x:v>Caramel Stuffed Bars</x:v>
      </x:c>
      <x:c r="D167" s="14" t="n">
        <x:v>44761</x:v>
      </x:c>
      <x:c r="E167" s="16" t="n">
        <x:v>3549</x:v>
      </x:c>
      <x:c r="F167" s="18" t="n">
        <x:v>112</x:v>
      </x:c>
      <x:c r="G167" s="20" t="n">
        <x:f>IFERROR(E167/F167,0)</x:f>
        <x:v>31.6875</x:v>
      </x:c>
      <x:c r="H167" t="str">
        <x:f>TEXT(D167,"mmm")</x:f>
        <x:v>Jul</x:v>
      </x:c>
      <x:c r="I167" s="22" t="n">
        <x:f>MONTH(D167)</x:f>
        <x:v>7</x:v>
      </x:c>
      <x:c r="J167" s="22" t="n">
        <x:f>YEAR(D167)</x:f>
        <x:v>2022</x:v>
      </x:c>
      <x:c r="K167" t="str">
        <x:f>IF(F167&gt;200,"Large Order","Standard Order")</x:f>
        <x:v>Standard Order</x:v>
      </x:c>
    </x:row>
    <x:row r="168">
      <x:c r="A168" t="str">
        <x:v>Mallorie Waber</x:v>
      </x:c>
      <x:c r="B168" t="str">
        <x:v>New Zealand</x:v>
      </x:c>
      <x:c r="C168" t="str">
        <x:v>Manuka Honey Choco</x:v>
      </x:c>
      <x:c r="D168" s="14" t="n">
        <x:v>44664</x:v>
      </x:c>
      <x:c r="E168" s="16" t="n">
        <x:v>9436</x:v>
      </x:c>
      <x:c r="F168" s="18" t="n">
        <x:v>11</x:v>
      </x:c>
      <x:c r="G168" s="20" t="n">
        <x:f>IFERROR(E168/F168,0)</x:f>
        <x:v>857.8181818181819</x:v>
      </x:c>
      <x:c r="H168" t="str">
        <x:f>TEXT(D168,"mmm")</x:f>
        <x:v>Apr</x:v>
      </x:c>
      <x:c r="I168" s="22" t="n">
        <x:f>MONTH(D168)</x:f>
        <x:v>4</x:v>
      </x:c>
      <x:c r="J168" s="22" t="n">
        <x:f>YEAR(D168)</x:f>
        <x:v>2022</x:v>
      </x:c>
      <x:c r="K168" t="str">
        <x:f>IF(F168&gt;200,"Large Order","Standard Order")</x:f>
        <x:v>Standard Order</x:v>
      </x:c>
    </x:row>
    <x:row r="169">
      <x:c r="A169" t="str">
        <x:v>Roddy Speechley</x:v>
      </x:c>
      <x:c r="B169" t="str">
        <x:v>India</x:v>
      </x:c>
      <x:c r="C169" t="str">
        <x:v>Peanut Butter Cubes</x:v>
      </x:c>
      <x:c r="D169" s="14" t="n">
        <x:v>44603</x:v>
      </x:c>
      <x:c r="E169" s="16" t="n">
        <x:v>10283</x:v>
      </x:c>
      <x:c r="F169" s="18" t="n">
        <x:v>21</x:v>
      </x:c>
      <x:c r="G169" s="20" t="n">
        <x:f>IFERROR(E169/F169,0)</x:f>
        <x:v>489.6666666666667</x:v>
      </x:c>
      <x:c r="H169" t="str">
        <x:f>TEXT(D169,"mmm")</x:f>
        <x:v>Feb</x:v>
      </x:c>
      <x:c r="I169" s="22" t="n">
        <x:f>MONTH(D169)</x:f>
        <x:v>2</x:v>
      </x:c>
      <x:c r="J169" s="22" t="n">
        <x:f>YEAR(D169)</x:f>
        <x:v>2022</x:v>
      </x:c>
      <x:c r="K169" t="str">
        <x:f>IF(F169&gt;200,"Large Order","Standard Order")</x:f>
        <x:v>Standard Order</x:v>
      </x:c>
    </x:row>
    <x:row r="170">
      <x:c r="A170" t="str">
        <x:v>Roddy Speechley</x:v>
      </x:c>
      <x:c r="B170" t="str">
        <x:v>New Zealand</x:v>
      </x:c>
      <x:c r="C170" t="str">
        <x:v>Milk Bars</x:v>
      </x:c>
      <x:c r="D170" s="14" t="n">
        <x:v>44622</x:v>
      </x:c>
      <x:c r="E170" s="16" t="n">
        <x:v>5446</x:v>
      </x:c>
      <x:c r="F170" s="18" t="n">
        <x:v>116</x:v>
      </x:c>
      <x:c r="G170" s="20" t="n">
        <x:f>IFERROR(E170/F170,0)</x:f>
        <x:v>46.94827586206897</x:v>
      </x:c>
      <x:c r="H170" t="str">
        <x:f>TEXT(D170,"mmm")</x:f>
        <x:v>Mar</x:v>
      </x:c>
      <x:c r="I170" s="22" t="n">
        <x:f>MONTH(D170)</x:f>
        <x:v>3</x:v>
      </x:c>
      <x:c r="J170" s="22" t="n">
        <x:f>YEAR(D170)</x:f>
        <x:v>2022</x:v>
      </x:c>
      <x:c r="K170" t="str">
        <x:f>IF(F170&gt;200,"Large Order","Standard Order")</x:f>
        <x:v>Standard Order</x:v>
      </x:c>
    </x:row>
    <x:row r="171">
      <x:c r="A171" t="str">
        <x:v>Ches Bonnell</x:v>
      </x:c>
      <x:c r="B171" t="str">
        <x:v>Australia</x:v>
      </x:c>
      <x:c r="C171" t="str">
        <x:v>White Choc</x:v>
      </x:c>
      <x:c r="D171" s="14" t="n">
        <x:v>44622</x:v>
      </x:c>
      <x:c r="E171" s="16" t="n">
        <x:v>1043</x:v>
      </x:c>
      <x:c r="F171" s="18" t="n">
        <x:v>202</x:v>
      </x:c>
      <x:c r="G171" s="20" t="n">
        <x:f>IFERROR(E171/F171,0)</x:f>
        <x:v>5.163366336633663</x:v>
      </x:c>
      <x:c r="H171" t="str">
        <x:f>TEXT(D171,"mmm")</x:f>
        <x:v>Mar</x:v>
      </x:c>
      <x:c r="I171" s="22" t="n">
        <x:f>MONTH(D171)</x:f>
        <x:v>3</x:v>
      </x:c>
      <x:c r="J171" s="22" t="n">
        <x:f>YEAR(D171)</x:f>
        <x:v>2022</x:v>
      </x:c>
      <x:c r="K171" t="str">
        <x:f>IF(F171&gt;200,"Large Order","Standard Order")</x:f>
        <x:v>Large Order</x:v>
      </x:c>
    </x:row>
    <x:row r="172">
      <x:c r="A172" t="str">
        <x:v>Van Tuxwell</x:v>
      </x:c>
      <x:c r="B172" t="str">
        <x:v>USA</x:v>
      </x:c>
      <x:c r="C172" t="str">
        <x:v>99% Dark &amp; Pure</x:v>
      </x:c>
      <x:c r="D172" s="14" t="n">
        <x:v>44770</x:v>
      </x:c>
      <x:c r="E172" s="16" t="n">
        <x:v>12586</x:v>
      </x:c>
      <x:c r="F172" s="18" t="n">
        <x:v>6</x:v>
      </x:c>
      <x:c r="G172" s="20" t="n">
        <x:f>IFERROR(E172/F172,0)</x:f>
        <x:v>2097.6666666666665</x:v>
      </x:c>
      <x:c r="H172" t="str">
        <x:f>TEXT(D172,"mmm")</x:f>
        <x:v>Jul</x:v>
      </x:c>
      <x:c r="I172" s="22" t="n">
        <x:f>MONTH(D172)</x:f>
        <x:v>7</x:v>
      </x:c>
      <x:c r="J172" s="22" t="n">
        <x:f>YEAR(D172)</x:f>
        <x:v>2022</x:v>
      </x:c>
      <x:c r="K172" t="str">
        <x:f>IF(F172&gt;200,"Large Order","Standard Order")</x:f>
        <x:v>Standard Order</x:v>
      </x:c>
    </x:row>
    <x:row r="173">
      <x:c r="A173" t="str">
        <x:v>Kelci Walkden</x:v>
      </x:c>
      <x:c r="B173" t="str">
        <x:v>India</x:v>
      </x:c>
      <x:c r="C173" t="str">
        <x:v>After Nines</x:v>
      </x:c>
      <x:c r="D173" s="14" t="n">
        <x:v>44568</x:v>
      </x:c>
      <x:c r="E173" s="16" t="n">
        <x:v>1687</x:v>
      </x:c>
      <x:c r="F173" s="18" t="n">
        <x:v>520</x:v>
      </x:c>
      <x:c r="G173" s="20" t="n">
        <x:f>IFERROR(E173/F173,0)</x:f>
        <x:v>3.2442307692307693</x:v>
      </x:c>
      <x:c r="H173" t="str">
        <x:f>TEXT(D173,"mmm")</x:f>
        <x:v>Jan</x:v>
      </x:c>
      <x:c r="I173" s="22" t="n">
        <x:f>MONTH(D173)</x:f>
        <x:v>1</x:v>
      </x:c>
      <x:c r="J173" s="22" t="n">
        <x:f>YEAR(D173)</x:f>
        <x:v>2022</x:v>
      </x:c>
      <x:c r="K173" t="str">
        <x:f>IF(F173&gt;200,"Large Order","Standard Order")</x:f>
        <x:v>Large Order</x:v>
      </x:c>
    </x:row>
    <x:row r="174">
      <x:c r="A174" t="str">
        <x:v>Brien Boise</x:v>
      </x:c>
      <x:c r="B174" t="str">
        <x:v>UK</x:v>
      </x:c>
      <x:c r="C174" t="str">
        <x:v>White Choc</x:v>
      </x:c>
      <x:c r="D174" s="14" t="n">
        <x:v>44663</x:v>
      </x:c>
      <x:c r="E174" s="16" t="n">
        <x:v>5299</x:v>
      </x:c>
      <x:c r="F174" s="18" t="n">
        <x:v>167</x:v>
      </x:c>
      <x:c r="G174" s="20" t="n">
        <x:f>IFERROR(E174/F174,0)</x:f>
        <x:v>31.730538922155688</x:v>
      </x:c>
      <x:c r="H174" t="str">
        <x:f>TEXT(D174,"mmm")</x:f>
        <x:v>Apr</x:v>
      </x:c>
      <x:c r="I174" s="22" t="n">
        <x:f>MONTH(D174)</x:f>
        <x:v>4</x:v>
      </x:c>
      <x:c r="J174" s="22" t="n">
        <x:f>YEAR(D174)</x:f>
        <x:v>2022</x:v>
      </x:c>
      <x:c r="K174" t="str">
        <x:f>IF(F174&gt;200,"Large Order","Standard Order")</x:f>
        <x:v>Standard Order</x:v>
      </x:c>
    </x:row>
    <x:row r="175">
      <x:c r="A175" t="str">
        <x:v>Van Tuxwell</x:v>
      </x:c>
      <x:c r="B175" t="str">
        <x:v>Canada</x:v>
      </x:c>
      <x:c r="C175" t="str">
        <x:v>Almond Choco</x:v>
      </x:c>
      <x:c r="D175" s="14" t="n">
        <x:v>44739</x:v>
      </x:c>
      <x:c r="E175" s="16" t="n">
        <x:v>3213</x:v>
      </x:c>
      <x:c r="F175" s="18" t="n">
        <x:v>72</x:v>
      </x:c>
      <x:c r="G175" s="20" t="n">
        <x:f>IFERROR(E175/F175,0)</x:f>
        <x:v>44.625</x:v>
      </x:c>
      <x:c r="H175" t="str">
        <x:f>TEXT(D175,"mmm")</x:f>
        <x:v>Jun</x:v>
      </x:c>
      <x:c r="I175" s="22" t="n">
        <x:f>MONTH(D175)</x:f>
        <x:v>6</x:v>
      </x:c>
      <x:c r="J175" s="22" t="n">
        <x:f>YEAR(D175)</x:f>
        <x:v>2022</x:v>
      </x:c>
      <x:c r="K175" t="str">
        <x:f>IF(F175&gt;200,"Large Order","Standard Order")</x:f>
        <x:v>Standard Order</x:v>
      </x:c>
    </x:row>
    <x:row r="176">
      <x:c r="A176" t="str">
        <x:v>Jehu Rudeforth</x:v>
      </x:c>
      <x:c r="B176" t="str">
        <x:v>Australia</x:v>
      </x:c>
      <x:c r="C176" t="str">
        <x:v>50% Dark Bites</x:v>
      </x:c>
      <x:c r="D176" s="14" t="n">
        <x:v>44575</x:v>
      </x:c>
      <x:c r="E176" s="16" t="n">
        <x:v>5194</x:v>
      </x:c>
      <x:c r="F176" s="18" t="n">
        <x:v>418</x:v>
      </x:c>
      <x:c r="G176" s="20" t="n">
        <x:f>IFERROR(E176/F176,0)</x:f>
        <x:v>12.425837320574162</x:v>
      </x:c>
      <x:c r="H176" t="str">
        <x:f>TEXT(D176,"mmm")</x:f>
        <x:v>Jan</x:v>
      </x:c>
      <x:c r="I176" s="22" t="n">
        <x:f>MONTH(D176)</x:f>
        <x:v>1</x:v>
      </x:c>
      <x:c r="J176" s="22" t="n">
        <x:f>YEAR(D176)</x:f>
        <x:v>2022</x:v>
      </x:c>
      <x:c r="K176" t="str">
        <x:f>IF(F176&gt;200,"Large Order","Standard Order")</x:f>
        <x:v>Large Order</x:v>
      </x:c>
    </x:row>
    <x:row r="177">
      <x:c r="A177" t="str">
        <x:v>Karlen McCaffrey</x:v>
      </x:c>
      <x:c r="B177" t="str">
        <x:v>UK</x:v>
      </x:c>
      <x:c r="C177" t="str">
        <x:v>Baker's Choco Chips</x:v>
      </x:c>
      <x:c r="D177" s="14" t="n">
        <x:v>44599</x:v>
      </x:c>
      <x:c r="E177" s="16" t="n">
        <x:v>4753</x:v>
      </x:c>
      <x:c r="F177" s="18" t="n">
        <x:v>389</x:v>
      </x:c>
      <x:c r="G177" s="20" t="n">
        <x:f>IFERROR(E177/F177,0)</x:f>
        <x:v>12.218508997429305</x:v>
      </x:c>
      <x:c r="H177" t="str">
        <x:f>TEXT(D177,"mmm")</x:f>
        <x:v>Feb</x:v>
      </x:c>
      <x:c r="I177" s="22" t="n">
        <x:f>MONTH(D177)</x:f>
        <x:v>2</x:v>
      </x:c>
      <x:c r="J177" s="22" t="n">
        <x:f>YEAR(D177)</x:f>
        <x:v>2022</x:v>
      </x:c>
      <x:c r="K177" t="str">
        <x:f>IF(F177&gt;200,"Large Order","Standard Order")</x:f>
        <x:v>Large Order</x:v>
      </x:c>
    </x:row>
    <x:row r="178">
      <x:c r="A178" t="str">
        <x:v>Jehu Rudeforth</x:v>
      </x:c>
      <x:c r="B178" t="str">
        <x:v>Australia</x:v>
      </x:c>
      <x:c r="C178" t="str">
        <x:v>Orange Choco</x:v>
      </x:c>
      <x:c r="D178" s="14" t="n">
        <x:v>44643</x:v>
      </x:c>
      <x:c r="E178" s="16" t="n">
        <x:v>13706</x:v>
      </x:c>
      <x:c r="F178" s="18" t="n">
        <x:v>26</x:v>
      </x:c>
      <x:c r="G178" s="20" t="n">
        <x:f>IFERROR(E178/F178,0)</x:f>
        <x:v>527.1538461538462</x:v>
      </x:c>
      <x:c r="H178" t="str">
        <x:f>TEXT(D178,"mmm")</x:f>
        <x:v>Mar</x:v>
      </x:c>
      <x:c r="I178" s="22" t="n">
        <x:f>MONTH(D178)</x:f>
        <x:v>3</x:v>
      </x:c>
      <x:c r="J178" s="22" t="n">
        <x:f>YEAR(D178)</x:f>
        <x:v>2022</x:v>
      </x:c>
      <x:c r="K178" t="str">
        <x:f>IF(F178&gt;200,"Large Order","Standard Order")</x:f>
        <x:v>Standard Order</x:v>
      </x:c>
    </x:row>
    <x:row r="179">
      <x:c r="A179" t="str">
        <x:v>Marney O'Breen</x:v>
      </x:c>
      <x:c r="B179" t="str">
        <x:v>India</x:v>
      </x:c>
      <x:c r="C179" t="str">
        <x:v>Peanut Butter Cubes</x:v>
      </x:c>
      <x:c r="D179" s="14" t="n">
        <x:v>44571</x:v>
      </x:c>
      <x:c r="E179" s="16" t="n">
        <x:v>6489</x:v>
      </x:c>
      <x:c r="F179" s="18" t="n">
        <x:v>146</x:v>
      </x:c>
      <x:c r="G179" s="20" t="n">
        <x:f>IFERROR(E179/F179,0)</x:f>
        <x:v>44.445205479452056</x:v>
      </x:c>
      <x:c r="H179" t="str">
        <x:f>TEXT(D179,"mmm")</x:f>
        <x:v>Jan</x:v>
      </x:c>
      <x:c r="I179" s="22" t="n">
        <x:f>MONTH(D179)</x:f>
        <x:v>1</x:v>
      </x:c>
      <x:c r="J179" s="22" t="n">
        <x:f>YEAR(D179)</x:f>
        <x:v>2022</x:v>
      </x:c>
      <x:c r="K179" t="str">
        <x:f>IF(F179&gt;200,"Large Order","Standard Order")</x:f>
        <x:v>Standard Order</x:v>
      </x:c>
    </x:row>
    <x:row r="180">
      <x:c r="A180" t="str">
        <x:v>Oby Sorrel</x:v>
      </x:c>
      <x:c r="B180" t="str">
        <x:v>UK</x:v>
      </x:c>
      <x:c r="C180" t="str">
        <x:v>Choco Coated Almonds</x:v>
      </x:c>
      <x:c r="D180" s="14" t="n">
        <x:v>44637</x:v>
      </x:c>
      <x:c r="E180" s="16" t="n">
        <x:v>9324</x:v>
      </x:c>
      <x:c r="F180" s="18" t="n">
        <x:v>41</x:v>
      </x:c>
      <x:c r="G180" s="20" t="n">
        <x:f>IFERROR(E180/F180,0)</x:f>
        <x:v>227.41463414634146</x:v>
      </x:c>
      <x:c r="H180" t="str">
        <x:f>TEXT(D180,"mmm")</x:f>
        <x:v>Mar</x:v>
      </x:c>
      <x:c r="I180" s="22" t="n">
        <x:f>MONTH(D180)</x:f>
        <x:v>3</x:v>
      </x:c>
      <x:c r="J180" s="22" t="n">
        <x:f>YEAR(D180)</x:f>
        <x:v>2022</x:v>
      </x:c>
      <x:c r="K180" t="str">
        <x:f>IF(F180&gt;200,"Large Order","Standard Order")</x:f>
        <x:v>Standard Order</x:v>
      </x:c>
    </x:row>
    <x:row r="181">
      <x:c r="A181" t="str">
        <x:v>Gigi Bohling</x:v>
      </x:c>
      <x:c r="B181" t="str">
        <x:v>USA</x:v>
      </x:c>
      <x:c r="C181" t="str">
        <x:v>Spicy Special Slims</x:v>
      </x:c>
      <x:c r="D181" s="14" t="n">
        <x:v>44582</x:v>
      </x:c>
      <x:c r="E181" s="16" t="n">
        <x:v>10829</x:v>
      </x:c>
      <x:c r="F181" s="18" t="n">
        <x:v>54</x:v>
      </x:c>
      <x:c r="G181" s="20" t="n">
        <x:f>IFERROR(E181/F181,0)</x:f>
        <x:v>200.53703703703704</x:v>
      </x:c>
      <x:c r="H181" t="str">
        <x:f>TEXT(D181,"mmm")</x:f>
        <x:v>Jan</x:v>
      </x:c>
      <x:c r="I181" s="22" t="n">
        <x:f>MONTH(D181)</x:f>
        <x:v>1</x:v>
      </x:c>
      <x:c r="J181" s="22" t="n">
        <x:f>YEAR(D181)</x:f>
        <x:v>2022</x:v>
      </x:c>
      <x:c r="K181" t="str">
        <x:f>IF(F181&gt;200,"Large Order","Standard Order")</x:f>
        <x:v>Standard Order</x:v>
      </x:c>
    </x:row>
    <x:row r="182">
      <x:c r="A182" t="str">
        <x:v>Barr Faughny</x:v>
      </x:c>
      <x:c r="B182" t="str">
        <x:v>Australia</x:v>
      </x:c>
      <x:c r="C182" t="str">
        <x:v>White Choc</x:v>
      </x:c>
      <x:c r="D182" s="14" t="n">
        <x:v>44746</x:v>
      </x:c>
      <x:c r="E182" s="16" t="n">
        <x:v>8113</x:v>
      </x:c>
      <x:c r="F182" s="18" t="n">
        <x:v>370</x:v>
      </x:c>
      <x:c r="G182" s="20" t="n">
        <x:f>IFERROR(E182/F182,0)</x:f>
        <x:v>21.927027027027027</x:v>
      </x:c>
      <x:c r="H182" t="str">
        <x:f>TEXT(D182,"mmm")</x:f>
        <x:v>Jul</x:v>
      </x:c>
      <x:c r="I182" s="22" t="n">
        <x:f>MONTH(D182)</x:f>
        <x:v>7</x:v>
      </x:c>
      <x:c r="J182" s="22" t="n">
        <x:f>YEAR(D182)</x:f>
        <x:v>2022</x:v>
      </x:c>
      <x:c r="K182" t="str">
        <x:f>IF(F182&gt;200,"Large Order","Standard Order")</x:f>
        <x:v>Large Order</x:v>
      </x:c>
    </x:row>
    <x:row r="183">
      <x:c r="A183" t="str">
        <x:v>Kaine Padly</x:v>
      </x:c>
      <x:c r="B183" t="str">
        <x:v>Canada</x:v>
      </x:c>
      <x:c r="C183" t="str">
        <x:v>Peanut Butter Cubes</x:v>
      </x:c>
      <x:c r="D183" s="14" t="n">
        <x:v>44746</x:v>
      </x:c>
      <x:c r="E183" s="16" t="n">
        <x:v>3269</x:v>
      </x:c>
      <x:c r="F183" s="18" t="n">
        <x:v>176</x:v>
      </x:c>
      <x:c r="G183" s="20" t="n">
        <x:f>IFERROR(E183/F183,0)</x:f>
        <x:v>18.573863636363637</x:v>
      </x:c>
      <x:c r="H183" t="str">
        <x:f>TEXT(D183,"mmm")</x:f>
        <x:v>Jul</x:v>
      </x:c>
      <x:c r="I183" s="22" t="n">
        <x:f>MONTH(D183)</x:f>
        <x:v>7</x:v>
      </x:c>
      <x:c r="J183" s="22" t="n">
        <x:f>YEAR(D183)</x:f>
        <x:v>2022</x:v>
      </x:c>
      <x:c r="K183" t="str">
        <x:f>IF(F183&gt;200,"Large Order","Standard Order")</x:f>
        <x:v>Standard Order</x:v>
      </x:c>
    </x:row>
    <x:row r="184">
      <x:c r="A184" t="str">
        <x:v>Dotty Strutley</x:v>
      </x:c>
      <x:c r="B184" t="str">
        <x:v>USA</x:v>
      </x:c>
      <x:c r="C184" t="str">
        <x:v>Manuka Honey Choco</x:v>
      </x:c>
      <x:c r="D184" s="14" t="n">
        <x:v>44783</x:v>
      </x:c>
      <x:c r="E184" s="16" t="n">
        <x:v>273</x:v>
      </x:c>
      <x:c r="F184" s="18" t="n">
        <x:v>210</x:v>
      </x:c>
      <x:c r="G184" s="20" t="n">
        <x:f>IFERROR(E184/F184,0)</x:f>
        <x:v>1.3</x:v>
      </x:c>
      <x:c r="H184" t="str">
        <x:f>TEXT(D184,"mmm")</x:f>
        <x:v>Aug</x:v>
      </x:c>
      <x:c r="I184" s="22" t="n">
        <x:f>MONTH(D184)</x:f>
        <x:v>8</x:v>
      </x:c>
      <x:c r="J184" s="22" t="n">
        <x:f>YEAR(D184)</x:f>
        <x:v>2022</x:v>
      </x:c>
      <x:c r="K184" t="str">
        <x:f>IF(F184&gt;200,"Large Order","Standard Order")</x:f>
        <x:v>Large Order</x:v>
      </x:c>
    </x:row>
    <x:row r="185">
      <x:c r="A185" t="str">
        <x:v>Dennison Crosswaite</x:v>
      </x:c>
      <x:c r="B185" t="str">
        <x:v>Australia</x:v>
      </x:c>
      <x:c r="C185" t="str">
        <x:v>50% Dark Bites</x:v>
      </x:c>
      <x:c r="D185" s="14" t="n">
        <x:v>44652</x:v>
      </x:c>
      <x:c r="E185" s="16" t="n">
        <x:v>7287</x:v>
      </x:c>
      <x:c r="F185" s="18" t="n">
        <x:v>12</x:v>
      </x:c>
      <x:c r="G185" s="20" t="n">
        <x:f>IFERROR(E185/F185,0)</x:f>
        <x:v>607.25</x:v>
      </x:c>
      <x:c r="H185" t="str">
        <x:f>TEXT(D185,"mmm")</x:f>
        <x:v>Apr</x:v>
      </x:c>
      <x:c r="I185" s="22" t="n">
        <x:f>MONTH(D185)</x:f>
        <x:v>4</x:v>
      </x:c>
      <x:c r="J185" s="22" t="n">
        <x:f>YEAR(D185)</x:f>
        <x:v>2022</x:v>
      </x:c>
      <x:c r="K185" t="str">
        <x:f>IF(F185&gt;200,"Large Order","Standard Order")</x:f>
        <x:v>Standard Order</x:v>
      </x:c>
    </x:row>
    <x:row r="186">
      <x:c r="A186" t="str">
        <x:v>Gigi Bohling</x:v>
      </x:c>
      <x:c r="B186" t="str">
        <x:v>India</x:v>
      </x:c>
      <x:c r="C186" t="str">
        <x:v>Raspberry Choco</x:v>
      </x:c>
      <x:c r="D186" s="14" t="n">
        <x:v>44614</x:v>
      </x:c>
      <x:c r="E186" s="16" t="n">
        <x:v>2583</x:v>
      </x:c>
      <x:c r="F186" s="18" t="n">
        <x:v>159</x:v>
      </x:c>
      <x:c r="G186" s="20" t="n">
        <x:f>IFERROR(E186/F186,0)</x:f>
        <x:v>16.245283018867923</x:v>
      </x:c>
      <x:c r="H186" t="str">
        <x:f>TEXT(D186,"mmm")</x:f>
        <x:v>Feb</x:v>
      </x:c>
      <x:c r="I186" s="22" t="n">
        <x:f>MONTH(D186)</x:f>
        <x:v>2</x:v>
      </x:c>
      <x:c r="J186" s="22" t="n">
        <x:f>YEAR(D186)</x:f>
        <x:v>2022</x:v>
      </x:c>
      <x:c r="K186" t="str">
        <x:f>IF(F186&gt;200,"Large Order","Standard Order")</x:f>
        <x:v>Standard Order</x:v>
      </x:c>
    </x:row>
    <x:row r="187">
      <x:c r="A187" t="str">
        <x:v>Camilla Castle</x:v>
      </x:c>
      <x:c r="B187" t="str">
        <x:v>UK</x:v>
      </x:c>
      <x:c r="C187" t="str">
        <x:v>White Choc</x:v>
      </x:c>
      <x:c r="D187" s="14" t="n">
        <x:v>44564</x:v>
      </x:c>
      <x:c r="E187" s="16" t="n">
        <x:v>9982</x:v>
      </x:c>
      <x:c r="F187" s="18" t="n">
        <x:v>187</x:v>
      </x:c>
      <x:c r="G187" s="20" t="n">
        <x:f>IFERROR(E187/F187,0)</x:f>
        <x:v>53.37967914438503</x:v>
      </x:c>
      <x:c r="H187" t="str">
        <x:f>TEXT(D187,"mmm")</x:f>
        <x:v>Jan</x:v>
      </x:c>
      <x:c r="I187" s="22" t="n">
        <x:f>MONTH(D187)</x:f>
        <x:v>1</x:v>
      </x:c>
      <x:c r="J187" s="22" t="n">
        <x:f>YEAR(D187)</x:f>
        <x:v>2022</x:v>
      </x:c>
      <x:c r="K187" t="str">
        <x:f>IF(F187&gt;200,"Large Order","Standard Order")</x:f>
        <x:v>Standard Order</x:v>
      </x:c>
    </x:row>
    <x:row r="188">
      <x:c r="A188" t="str">
        <x:v>Karlen McCaffrey</x:v>
      </x:c>
      <x:c r="B188" t="str">
        <x:v>India</x:v>
      </x:c>
      <x:c r="C188" t="str">
        <x:v>Drinking Coco</x:v>
      </x:c>
      <x:c r="D188" s="14" t="n">
        <x:v>44712</x:v>
      </x:c>
      <x:c r="E188" s="16" t="n">
        <x:v>4795</x:v>
      </x:c>
      <x:c r="F188" s="18" t="n">
        <x:v>233</x:v>
      </x:c>
      <x:c r="G188" s="20" t="n">
        <x:f>IFERROR(E188/F188,0)</x:f>
        <x:v>20.5793991416309</x:v>
      </x:c>
      <x:c r="H188" t="str">
        <x:f>TEXT(D188,"mmm")</x:f>
        <x:v>May</x:v>
      </x:c>
      <x:c r="I188" s="22" t="n">
        <x:f>MONTH(D188)</x:f>
        <x:v>5</x:v>
      </x:c>
      <x:c r="J188" s="22" t="n">
        <x:f>YEAR(D188)</x:f>
        <x:v>2022</x:v>
      </x:c>
      <x:c r="K188" t="str">
        <x:f>IF(F188&gt;200,"Large Order","Standard Order")</x:f>
        <x:v>Large Order</x:v>
      </x:c>
    </x:row>
    <x:row r="189">
      <x:c r="A189" t="str">
        <x:v>Dotty Strutley</x:v>
      </x:c>
      <x:c r="B189" t="str">
        <x:v>UK</x:v>
      </x:c>
      <x:c r="C189" t="str">
        <x:v>99% Dark &amp; Pure</x:v>
      </x:c>
      <x:c r="D189" s="14" t="n">
        <x:v>44564</x:v>
      </x:c>
      <x:c r="E189" s="16" t="n">
        <x:v>9310</x:v>
      </x:c>
      <x:c r="F189" s="18" t="n">
        <x:v>282</x:v>
      </x:c>
      <x:c r="G189" s="20" t="n">
        <x:f>IFERROR(E189/F189,0)</x:f>
        <x:v>33.01418439716312</x:v>
      </x:c>
      <x:c r="H189" t="str">
        <x:f>TEXT(D189,"mmm")</x:f>
        <x:v>Jan</x:v>
      </x:c>
      <x:c r="I189" s="22" t="n">
        <x:f>MONTH(D189)</x:f>
        <x:v>1</x:v>
      </x:c>
      <x:c r="J189" s="22" t="n">
        <x:f>YEAR(D189)</x:f>
        <x:v>2022</x:v>
      </x:c>
      <x:c r="K189" t="str">
        <x:f>IF(F189&gt;200,"Large Order","Standard Order")</x:f>
        <x:v>Large Order</x:v>
      </x:c>
    </x:row>
    <x:row r="190">
      <x:c r="A190" t="str">
        <x:v>Husein Augar</x:v>
      </x:c>
      <x:c r="B190" t="str">
        <x:v>New Zealand</x:v>
      </x:c>
      <x:c r="C190" t="str">
        <x:v>Caramel Stuffed Bars</x:v>
      </x:c>
      <x:c r="D190" s="14" t="n">
        <x:v>44588</x:v>
      </x:c>
      <x:c r="E190" s="16" t="n">
        <x:v>497</x:v>
      </x:c>
      <x:c r="F190" s="18" t="n">
        <x:v>475</x:v>
      </x:c>
      <x:c r="G190" s="20" t="n">
        <x:f>IFERROR(E190/F190,0)</x:f>
        <x:v>1.0463157894736843</x:v>
      </x:c>
      <x:c r="H190" t="str">
        <x:f>TEXT(D190,"mmm")</x:f>
        <x:v>Jan</x:v>
      </x:c>
      <x:c r="I190" s="22" t="n">
        <x:f>MONTH(D190)</x:f>
        <x:v>1</x:v>
      </x:c>
      <x:c r="J190" s="22" t="n">
        <x:f>YEAR(D190)</x:f>
        <x:v>2022</x:v>
      </x:c>
      <x:c r="K190" t="str">
        <x:f>IF(F190&gt;200,"Large Order","Standard Order")</x:f>
        <x:v>Large Order</x:v>
      </x:c>
    </x:row>
    <x:row r="191">
      <x:c r="A191" t="str">
        <x:v>Barr Faughny</x:v>
      </x:c>
      <x:c r="B191" t="str">
        <x:v>UK</x:v>
      </x:c>
      <x:c r="C191" t="str">
        <x:v>50% Dark Bites</x:v>
      </x:c>
      <x:c r="D191" s="14" t="n">
        <x:v>44589</x:v>
      </x:c>
      <x:c r="E191" s="16" t="n">
        <x:v>581</x:v>
      </x:c>
      <x:c r="F191" s="18" t="n">
        <x:v>65</x:v>
      </x:c>
      <x:c r="G191" s="20" t="n">
        <x:f>IFERROR(E191/F191,0)</x:f>
        <x:v>8.938461538461539</x:v>
      </x:c>
      <x:c r="H191" t="str">
        <x:f>TEXT(D191,"mmm")</x:f>
        <x:v>Jan</x:v>
      </x:c>
      <x:c r="I191" s="22" t="n">
        <x:f>MONTH(D191)</x:f>
        <x:v>1</x:v>
      </x:c>
      <x:c r="J191" s="22" t="n">
        <x:f>YEAR(D191)</x:f>
        <x:v>2022</x:v>
      </x:c>
      <x:c r="K191" t="str">
        <x:f>IF(F191&gt;200,"Large Order","Standard Order")</x:f>
        <x:v>Standard Order</x:v>
      </x:c>
    </x:row>
    <x:row r="192">
      <x:c r="A192" t="str">
        <x:v>Curtice Advani</x:v>
      </x:c>
      <x:c r="B192" t="str">
        <x:v>Australia</x:v>
      </x:c>
      <x:c r="C192" t="str">
        <x:v>Organic Choco Syrup</x:v>
      </x:c>
      <x:c r="D192" s="14" t="n">
        <x:v>44740</x:v>
      </x:c>
      <x:c r="E192" s="16" t="n">
        <x:v>3472</x:v>
      </x:c>
      <x:c r="F192" s="18" t="n">
        <x:v>311</x:v>
      </x:c>
      <x:c r="G192" s="20" t="n">
        <x:f>IFERROR(E192/F192,0)</x:f>
        <x:v>11.163987138263666</x:v>
      </x:c>
      <x:c r="H192" t="str">
        <x:f>TEXT(D192,"mmm")</x:f>
        <x:v>Jun</x:v>
      </x:c>
      <x:c r="I192" s="22" t="n">
        <x:f>MONTH(D192)</x:f>
        <x:v>6</x:v>
      </x:c>
      <x:c r="J192" s="22" t="n">
        <x:f>YEAR(D192)</x:f>
        <x:v>2022</x:v>
      </x:c>
      <x:c r="K192" t="str">
        <x:f>IF(F192&gt;200,"Large Order","Standard Order")</x:f>
        <x:v>Large Order</x:v>
      </x:c>
    </x:row>
    <x:row r="193">
      <x:c r="A193" t="str">
        <x:v>Husein Augar</x:v>
      </x:c>
      <x:c r="B193" t="str">
        <x:v>UK</x:v>
      </x:c>
      <x:c r="C193" t="str">
        <x:v>Choco Coated Almonds</x:v>
      </x:c>
      <x:c r="D193" s="14" t="n">
        <x:v>44622</x:v>
      </x:c>
      <x:c r="E193" s="16" t="n">
        <x:v>4333</x:v>
      </x:c>
      <x:c r="F193" s="18" t="n">
        <x:v>43</x:v>
      </x:c>
      <x:c r="G193" s="20" t="n">
        <x:f>IFERROR(E193/F193,0)</x:f>
        <x:v>100.76744186046511</x:v>
      </x:c>
      <x:c r="H193" t="str">
        <x:f>TEXT(D193,"mmm")</x:f>
        <x:v>Mar</x:v>
      </x:c>
      <x:c r="I193" s="22" t="n">
        <x:f>MONTH(D193)</x:f>
        <x:v>3</x:v>
      </x:c>
      <x:c r="J193" s="22" t="n">
        <x:f>YEAR(D193)</x:f>
        <x:v>2022</x:v>
      </x:c>
      <x:c r="K193" t="str">
        <x:f>IF(F193&gt;200,"Large Order","Standard Order")</x:f>
        <x:v>Standard Order</x:v>
      </x:c>
    </x:row>
    <x:row r="194">
      <x:c r="A194" t="str">
        <x:v>Wilone O'Kielt</x:v>
      </x:c>
      <x:c r="B194" t="str">
        <x:v>Australia</x:v>
      </x:c>
      <x:c r="C194" t="str">
        <x:v>After Nines</x:v>
      </x:c>
      <x:c r="D194" s="14" t="n">
        <x:v>44708</x:v>
      </x:c>
      <x:c r="E194" s="16" t="n">
        <x:v>3325</x:v>
      </x:c>
      <x:c r="F194" s="18" t="n">
        <x:v>26</x:v>
      </x:c>
      <x:c r="G194" s="20" t="n">
        <x:f>IFERROR(E194/F194,0)</x:f>
        <x:v>127.88461538461539</x:v>
      </x:c>
      <x:c r="H194" t="str">
        <x:f>TEXT(D194,"mmm")</x:f>
        <x:v>May</x:v>
      </x:c>
      <x:c r="I194" s="22" t="n">
        <x:f>MONTH(D194)</x:f>
        <x:v>5</x:v>
      </x:c>
      <x:c r="J194" s="22" t="n">
        <x:f>YEAR(D194)</x:f>
        <x:v>2022</x:v>
      </x:c>
      <x:c r="K194" t="str">
        <x:f>IF(F194&gt;200,"Large Order","Standard Order")</x:f>
        <x:v>Standard Order</x:v>
      </x:c>
    </x:row>
    <x:row r="195">
      <x:c r="A195" t="str">
        <x:v>Dennison Crosswaite</x:v>
      </x:c>
      <x:c r="B195" t="str">
        <x:v>USA</x:v>
      </x:c>
      <x:c r="C195" t="str">
        <x:v>Almond Choco</x:v>
      </x:c>
      <x:c r="D195" s="14" t="n">
        <x:v>44742</x:v>
      </x:c>
      <x:c r="E195" s="16" t="n">
        <x:v>11718</x:v>
      </x:c>
      <x:c r="F195" s="18" t="n">
        <x:v>84</x:v>
      </x:c>
      <x:c r="G195" s="20" t="n">
        <x:f>IFERROR(E195/F195,0)</x:f>
        <x:v>139.5</x:v>
      </x:c>
      <x:c r="H195" t="str">
        <x:f>TEXT(D195,"mmm")</x:f>
        <x:v>Jun</x:v>
      </x:c>
      <x:c r="I195" s="22" t="n">
        <x:f>MONTH(D195)</x:f>
        <x:v>6</x:v>
      </x:c>
      <x:c r="J195" s="22" t="n">
        <x:f>YEAR(D195)</x:f>
        <x:v>2022</x:v>
      </x:c>
      <x:c r="K195" t="str">
        <x:f>IF(F195&gt;200,"Large Order","Standard Order")</x:f>
        <x:v>Standard Order</x:v>
      </x:c>
    </x:row>
    <x:row r="196">
      <x:c r="A196" t="str">
        <x:v>Barr Faughny</x:v>
      </x:c>
      <x:c r="B196" t="str">
        <x:v>Canada</x:v>
      </x:c>
      <x:c r="C196" t="str">
        <x:v>Peanut Butter Cubes</x:v>
      </x:c>
      <x:c r="D196" s="14" t="n">
        <x:v>44719</x:v>
      </x:c>
      <x:c r="E196" s="16" t="n">
        <x:v>2100</x:v>
      </x:c>
      <x:c r="F196" s="18" t="n">
        <x:v>78</x:v>
      </x:c>
      <x:c r="G196" s="20" t="n">
        <x:f>IFERROR(E196/F196,0)</x:f>
        <x:v>26.923076923076923</x:v>
      </x:c>
      <x:c r="H196" t="str">
        <x:f>TEXT(D196,"mmm")</x:f>
        <x:v>Jun</x:v>
      </x:c>
      <x:c r="I196" s="22" t="n">
        <x:f>MONTH(D196)</x:f>
        <x:v>6</x:v>
      </x:c>
      <x:c r="J196" s="22" t="n">
        <x:f>YEAR(D196)</x:f>
        <x:v>2022</x:v>
      </x:c>
      <x:c r="K196" t="str">
        <x:f>IF(F196&gt;200,"Large Order","Standard Order")</x:f>
        <x:v>Standard Order</x:v>
      </x:c>
    </x:row>
    <x:row r="197">
      <x:c r="A197" t="str">
        <x:v>Kaine Padly</x:v>
      </x:c>
      <x:c r="B197" t="str">
        <x:v>USA</x:v>
      </x:c>
      <x:c r="C197" t="str">
        <x:v>70% Dark Bites</x:v>
      </x:c>
      <x:c r="D197" s="14" t="n">
        <x:v>44693</x:v>
      </x:c>
      <x:c r="E197" s="16" t="n">
        <x:v>4018</x:v>
      </x:c>
      <x:c r="F197" s="18" t="n">
        <x:v>100</x:v>
      </x:c>
      <x:c r="G197" s="20" t="n">
        <x:f>IFERROR(E197/F197,0)</x:f>
        <x:v>40.18</x:v>
      </x:c>
      <x:c r="H197" t="str">
        <x:f>TEXT(D197,"mmm")</x:f>
        <x:v>May</x:v>
      </x:c>
      <x:c r="I197" s="22" t="n">
        <x:f>MONTH(D197)</x:f>
        <x:v>5</x:v>
      </x:c>
      <x:c r="J197" s="22" t="n">
        <x:f>YEAR(D197)</x:f>
        <x:v>2022</x:v>
      </x:c>
      <x:c r="K197" t="str">
        <x:f>IF(F197&gt;200,"Large Order","Standard Order")</x:f>
        <x:v>Standard Order</x:v>
      </x:c>
    </x:row>
    <x:row r="198">
      <x:c r="A198" t="str">
        <x:v>Barr Faughny</x:v>
      </x:c>
      <x:c r="B198" t="str">
        <x:v>New Zealand</x:v>
      </x:c>
      <x:c r="C198" t="str">
        <x:v>Raspberry Choco</x:v>
      </x:c>
      <x:c r="D198" s="14" t="n">
        <x:v>44771</x:v>
      </x:c>
      <x:c r="E198" s="16" t="n">
        <x:v>6468</x:v>
      </x:c>
      <x:c r="F198" s="18" t="n">
        <x:v>66</x:v>
      </x:c>
      <x:c r="G198" s="20" t="n">
        <x:f>IFERROR(E198/F198,0)</x:f>
        <x:v>98</x:v>
      </x:c>
      <x:c r="H198" t="str">
        <x:f>TEXT(D198,"mmm")</x:f>
        <x:v>Jul</x:v>
      </x:c>
      <x:c r="I198" s="22" t="n">
        <x:f>MONTH(D198)</x:f>
        <x:v>7</x:v>
      </x:c>
      <x:c r="J198" s="22" t="n">
        <x:f>YEAR(D198)</x:f>
        <x:v>2022</x:v>
      </x:c>
      <x:c r="K198" t="str">
        <x:f>IF(F198&gt;200,"Large Order","Standard Order")</x:f>
        <x:v>Standard Order</x:v>
      </x:c>
    </x:row>
    <x:row r="199">
      <x:c r="A199" t="str">
        <x:v>Dennison Crosswaite</x:v>
      </x:c>
      <x:c r="B199" t="str">
        <x:v>UK</x:v>
      </x:c>
      <x:c r="C199" t="str">
        <x:v>White Choc</x:v>
      </x:c>
      <x:c r="D199" s="14" t="n">
        <x:v>44776</x:v>
      </x:c>
      <x:c r="E199" s="16" t="n">
        <x:v>7238</x:v>
      </x:c>
      <x:c r="F199" s="18" t="n">
        <x:v>265</x:v>
      </x:c>
      <x:c r="G199" s="20" t="n">
        <x:f>IFERROR(E199/F199,0)</x:f>
        <x:v>27.31320754716981</x:v>
      </x:c>
      <x:c r="H199" t="str">
        <x:f>TEXT(D199,"mmm")</x:f>
        <x:v>Aug</x:v>
      </x:c>
      <x:c r="I199" s="22" t="n">
        <x:f>MONTH(D199)</x:f>
        <x:v>8</x:v>
      </x:c>
      <x:c r="J199" s="22" t="n">
        <x:f>YEAR(D199)</x:f>
        <x:v>2022</x:v>
      </x:c>
      <x:c r="K199" t="str">
        <x:f>IF(F199&gt;200,"Large Order","Standard Order")</x:f>
        <x:v>Large Order</x:v>
      </x:c>
    </x:row>
    <x:row r="200">
      <x:c r="A200" t="str">
        <x:v>Barr Faughny</x:v>
      </x:c>
      <x:c r="B200" t="str">
        <x:v>India</x:v>
      </x:c>
      <x:c r="C200" t="str">
        <x:v>Baker's Choco Chips</x:v>
      </x:c>
      <x:c r="D200" s="14" t="n">
        <x:v>44791</x:v>
      </x:c>
      <x:c r="E200" s="16" t="n">
        <x:v>6454</x:v>
      </x:c>
      <x:c r="F200" s="18" t="n">
        <x:v>141</x:v>
      </x:c>
      <x:c r="G200" s="20" t="n">
        <x:f>IFERROR(E200/F200,0)</x:f>
        <x:v>45.773049645390074</x:v>
      </x:c>
      <x:c r="H200" t="str">
        <x:f>TEXT(D200,"mmm")</x:f>
        <x:v>Aug</x:v>
      </x:c>
      <x:c r="I200" s="22" t="n">
        <x:f>MONTH(D200)</x:f>
        <x:v>8</x:v>
      </x:c>
      <x:c r="J200" s="22" t="n">
        <x:f>YEAR(D200)</x:f>
        <x:v>2022</x:v>
      </x:c>
      <x:c r="K200" t="str">
        <x:f>IF(F200&gt;200,"Large Order","Standard Order")</x:f>
        <x:v>Standard Order</x:v>
      </x:c>
    </x:row>
    <x:row r="201">
      <x:c r="A201" t="str">
        <x:v>Van Tuxwell</x:v>
      </x:c>
      <x:c r="B201" t="str">
        <x:v>New Zealand</x:v>
      </x:c>
      <x:c r="C201" t="str">
        <x:v>Smooth Silky Salty</x:v>
      </x:c>
      <x:c r="D201" s="14" t="n">
        <x:v>44726</x:v>
      </x:c>
      <x:c r="E201" s="16" t="n">
        <x:v>3115</x:v>
      </x:c>
      <x:c r="F201" s="18" t="n">
        <x:v>42</x:v>
      </x:c>
      <x:c r="G201" s="20" t="n">
        <x:f>IFERROR(E201/F201,0)</x:f>
        <x:v>74.16666666666667</x:v>
      </x:c>
      <x:c r="H201" t="str">
        <x:f>TEXT(D201,"mmm")</x:f>
        <x:v>Jun</x:v>
      </x:c>
      <x:c r="I201" s="22" t="n">
        <x:f>MONTH(D201)</x:f>
        <x:v>6</x:v>
      </x:c>
      <x:c r="J201" s="22" t="n">
        <x:f>YEAR(D201)</x:f>
        <x:v>2022</x:v>
      </x:c>
      <x:c r="K201" t="str">
        <x:f>IF(F201&gt;200,"Large Order","Standard Order")</x:f>
        <x:v>Standard Order</x:v>
      </x:c>
    </x:row>
    <x:row r="202">
      <x:c r="A202" t="str">
        <x:v>Beverie Moffet</x:v>
      </x:c>
      <x:c r="B202" t="str">
        <x:v>UK</x:v>
      </x:c>
      <x:c r="C202" t="str">
        <x:v>White Choc</x:v>
      </x:c>
      <x:c r="D202" s="14" t="n">
        <x:v>44742</x:v>
      </x:c>
      <x:c r="E202" s="16" t="n">
        <x:v>6475</x:v>
      </x:c>
      <x:c r="F202" s="18" t="n">
        <x:v>76</x:v>
      </x:c>
      <x:c r="G202" s="20" t="n">
        <x:f>IFERROR(E202/F202,0)</x:f>
        <x:v>85.19736842105263</x:v>
      </x:c>
      <x:c r="H202" t="str">
        <x:f>TEXT(D202,"mmm")</x:f>
        <x:v>Jun</x:v>
      </x:c>
      <x:c r="I202" s="22" t="n">
        <x:f>MONTH(D202)</x:f>
        <x:v>6</x:v>
      </x:c>
      <x:c r="J202" s="22" t="n">
        <x:f>YEAR(D202)</x:f>
        <x:v>2022</x:v>
      </x:c>
      <x:c r="K202" t="str">
        <x:f>IF(F202&gt;200,"Large Order","Standard Order")</x:f>
        <x:v>Standard Order</x:v>
      </x:c>
    </x:row>
    <x:row r="203">
      <x:c r="A203" t="str">
        <x:v>Camilla Castle</x:v>
      </x:c>
      <x:c r="B203" t="str">
        <x:v>New Zealand</x:v>
      </x:c>
      <x:c r="C203" t="str">
        <x:v>Mint Chip Choco</x:v>
      </x:c>
      <x:c r="D203" s="14" t="n">
        <x:v>44725</x:v>
      </x:c>
      <x:c r="E203" s="16" t="n">
        <x:v>1162</x:v>
      </x:c>
      <x:c r="F203" s="18" t="n">
        <x:v>190</x:v>
      </x:c>
      <x:c r="G203" s="20" t="n">
        <x:f>IFERROR(E203/F203,0)</x:f>
        <x:v>6.11578947368421</x:v>
      </x:c>
      <x:c r="H203" t="str">
        <x:f>TEXT(D203,"mmm")</x:f>
        <x:v>Jun</x:v>
      </x:c>
      <x:c r="I203" s="22" t="n">
        <x:f>MONTH(D203)</x:f>
        <x:v>6</x:v>
      </x:c>
      <x:c r="J203" s="22" t="n">
        <x:f>YEAR(D203)</x:f>
        <x:v>2022</x:v>
      </x:c>
      <x:c r="K203" t="str">
        <x:f>IF(F203&gt;200,"Large Order","Standard Order")</x:f>
        <x:v>Standard Order</x:v>
      </x:c>
    </x:row>
    <x:row r="204">
      <x:c r="A204" t="str">
        <x:v>Ches Bonnell</x:v>
      </x:c>
      <x:c r="B204" t="str">
        <x:v>UK</x:v>
      </x:c>
      <x:c r="C204" t="str">
        <x:v>Orange Choco</x:v>
      </x:c>
      <x:c r="D204" s="14" t="n">
        <x:v>44678</x:v>
      </x:c>
      <x:c r="E204" s="16" t="n">
        <x:v>14238</x:v>
      </x:c>
      <x:c r="F204" s="18" t="n">
        <x:v>54</x:v>
      </x:c>
      <x:c r="G204" s="20" t="n">
        <x:f>IFERROR(E204/F204,0)</x:f>
        <x:v>263.6666666666667</x:v>
      </x:c>
      <x:c r="H204" t="str">
        <x:f>TEXT(D204,"mmm")</x:f>
        <x:v>Apr</x:v>
      </x:c>
      <x:c r="I204" s="22" t="n">
        <x:f>MONTH(D204)</x:f>
        <x:v>4</x:v>
      </x:c>
      <x:c r="J204" s="22" t="n">
        <x:f>YEAR(D204)</x:f>
        <x:v>2022</x:v>
      </x:c>
      <x:c r="K204" t="str">
        <x:f>IF(F204&gt;200,"Large Order","Standard Order")</x:f>
        <x:v>Standard Order</x:v>
      </x:c>
    </x:row>
    <x:row r="205">
      <x:c r="A205" t="str">
        <x:v>Jan Morforth</x:v>
      </x:c>
      <x:c r="B205" t="str">
        <x:v>Australia</x:v>
      </x:c>
      <x:c r="C205" t="str">
        <x:v>White Choc</x:v>
      </x:c>
      <x:c r="D205" s="14" t="n">
        <x:v>44769</x:v>
      </x:c>
      <x:c r="E205" s="16" t="n">
        <x:v>3472</x:v>
      </x:c>
      <x:c r="F205" s="18" t="n">
        <x:v>32</x:v>
      </x:c>
      <x:c r="G205" s="20" t="n">
        <x:f>IFERROR(E205/F205,0)</x:f>
        <x:v>108.5</x:v>
      </x:c>
      <x:c r="H205" t="str">
        <x:f>TEXT(D205,"mmm")</x:f>
        <x:v>Jul</x:v>
      </x:c>
      <x:c r="I205" s="22" t="n">
        <x:f>MONTH(D205)</x:f>
        <x:v>7</x:v>
      </x:c>
      <x:c r="J205" s="22" t="n">
        <x:f>YEAR(D205)</x:f>
        <x:v>2022</x:v>
      </x:c>
      <x:c r="K205" t="str">
        <x:f>IF(F205&gt;200,"Large Order","Standard Order")</x:f>
        <x:v>Standard Order</x:v>
      </x:c>
    </x:row>
    <x:row r="206">
      <x:c r="A206" t="str">
        <x:v>Mallorie Waber</x:v>
      </x:c>
      <x:c r="B206" t="str">
        <x:v>Canada</x:v>
      </x:c>
      <x:c r="C206" t="str">
        <x:v>85% Dark Bars</x:v>
      </x:c>
      <x:c r="D206" s="14" t="n">
        <x:v>44671</x:v>
      </x:c>
      <x:c r="E206" s="16" t="n">
        <x:v>1428</x:v>
      </x:c>
      <x:c r="F206" s="18" t="n">
        <x:v>424</x:v>
      </x:c>
      <x:c r="G206" s="20" t="n">
        <x:f>IFERROR(E206/F206,0)</x:f>
        <x:v>3.3679245283018866</x:v>
      </x:c>
      <x:c r="H206" t="str">
        <x:f>TEXT(D206,"mmm")</x:f>
        <x:v>Apr</x:v>
      </x:c>
      <x:c r="I206" s="22" t="n">
        <x:f>MONTH(D206)</x:f>
        <x:v>4</x:v>
      </x:c>
      <x:c r="J206" s="22" t="n">
        <x:f>YEAR(D206)</x:f>
        <x:v>2022</x:v>
      </x:c>
      <x:c r="K206" t="str">
        <x:f>IF(F206&gt;200,"Large Order","Standard Order")</x:f>
        <x:v>Large Order</x:v>
      </x:c>
    </x:row>
    <x:row r="207">
      <x:c r="A207" t="str">
        <x:v>Rafaelita Blaksland</x:v>
      </x:c>
      <x:c r="B207" t="str">
        <x:v>India</x:v>
      </x:c>
      <x:c r="C207" t="str">
        <x:v>Spicy Special Slims</x:v>
      </x:c>
      <x:c r="D207" s="14" t="n">
        <x:v>44565</x:v>
      </x:c>
      <x:c r="E207" s="16" t="n">
        <x:v>8064</x:v>
      </x:c>
      <x:c r="F207" s="18" t="n">
        <x:v>134</x:v>
      </x:c>
      <x:c r="G207" s="20" t="n">
        <x:f>IFERROR(E207/F207,0)</x:f>
        <x:v>60.17910447761194</x:v>
      </x:c>
      <x:c r="H207" t="str">
        <x:f>TEXT(D207,"mmm")</x:f>
        <x:v>Jan</x:v>
      </x:c>
      <x:c r="I207" s="22" t="n">
        <x:f>MONTH(D207)</x:f>
        <x:v>1</x:v>
      </x:c>
      <x:c r="J207" s="22" t="n">
        <x:f>YEAR(D207)</x:f>
        <x:v>2022</x:v>
      </x:c>
      <x:c r="K207" t="str">
        <x:f>IF(F207&gt;200,"Large Order","Standard Order")</x:f>
        <x:v>Standard Order</x:v>
      </x:c>
    </x:row>
    <x:row r="208">
      <x:c r="A208" t="str">
        <x:v>Ches Bonnell</x:v>
      </x:c>
      <x:c r="B208" t="str">
        <x:v>Australia</x:v>
      </x:c>
      <x:c r="C208" t="str">
        <x:v>Mint Chip Choco</x:v>
      </x:c>
      <x:c r="D208" s="14" t="n">
        <x:v>44613</x:v>
      </x:c>
      <x:c r="E208" s="16" t="n">
        <x:v>9660</x:v>
      </x:c>
      <x:c r="F208" s="18" t="n">
        <x:v>92</x:v>
      </x:c>
      <x:c r="G208" s="20" t="n">
        <x:f>IFERROR(E208/F208,0)</x:f>
        <x:v>105</x:v>
      </x:c>
      <x:c r="H208" t="str">
        <x:f>TEXT(D208,"mmm")</x:f>
        <x:v>Feb</x:v>
      </x:c>
      <x:c r="I208" s="22" t="n">
        <x:f>MONTH(D208)</x:f>
        <x:v>2</x:v>
      </x:c>
      <x:c r="J208" s="22" t="n">
        <x:f>YEAR(D208)</x:f>
        <x:v>2022</x:v>
      </x:c>
      <x:c r="K208" t="str">
        <x:f>IF(F208&gt;200,"Large Order","Standard Order")</x:f>
        <x:v>Standard Order</x:v>
      </x:c>
    </x:row>
    <x:row r="209">
      <x:c r="A209" t="str">
        <x:v>Karlen McCaffrey</x:v>
      </x:c>
      <x:c r="B209" t="str">
        <x:v>Australia</x:v>
      </x:c>
      <x:c r="C209" t="str">
        <x:v>White Choc</x:v>
      </x:c>
      <x:c r="D209" s="14" t="n">
        <x:v>44566</x:v>
      </x:c>
      <x:c r="E209" s="16" t="n">
        <x:v>7357</x:v>
      </x:c>
      <x:c r="F209" s="18" t="n">
        <x:v>48</x:v>
      </x:c>
      <x:c r="G209" s="20" t="n">
        <x:f>IFERROR(E209/F209,0)</x:f>
        <x:v>153.27083333333334</x:v>
      </x:c>
      <x:c r="H209" t="str">
        <x:f>TEXT(D209,"mmm")</x:f>
        <x:v>Jan</x:v>
      </x:c>
      <x:c r="I209" s="22" t="n">
        <x:f>MONTH(D209)</x:f>
        <x:v>1</x:v>
      </x:c>
      <x:c r="J209" s="22" t="n">
        <x:f>YEAR(D209)</x:f>
        <x:v>2022</x:v>
      </x:c>
      <x:c r="K209" t="str">
        <x:f>IF(F209&gt;200,"Large Order","Standard Order")</x:f>
        <x:v>Standard Order</x:v>
      </x:c>
    </x:row>
    <x:row r="210">
      <x:c r="A210" t="str">
        <x:v>Beverie Moffet</x:v>
      </x:c>
      <x:c r="B210" t="str">
        <x:v>India</x:v>
      </x:c>
      <x:c r="C210" t="str">
        <x:v>Drinking Coco</x:v>
      </x:c>
      <x:c r="D210" s="14" t="n">
        <x:v>44757</x:v>
      </x:c>
      <x:c r="E210" s="16" t="n">
        <x:v>6055</x:v>
      </x:c>
      <x:c r="F210" s="18" t="n">
        <x:v>46</x:v>
      </x:c>
      <x:c r="G210" s="20" t="n">
        <x:f>IFERROR(E210/F210,0)</x:f>
        <x:v>131.6304347826087</x:v>
      </x:c>
      <x:c r="H210" t="str">
        <x:f>TEXT(D210,"mmm")</x:f>
        <x:v>Jul</x:v>
      </x:c>
      <x:c r="I210" s="22" t="n">
        <x:f>MONTH(D210)</x:f>
        <x:v>7</x:v>
      </x:c>
      <x:c r="J210" s="22" t="n">
        <x:f>YEAR(D210)</x:f>
        <x:v>2022</x:v>
      </x:c>
      <x:c r="K210" t="str">
        <x:f>IF(F210&gt;200,"Large Order","Standard Order")</x:f>
        <x:v>Standard Order</x:v>
      </x:c>
    </x:row>
    <x:row r="211">
      <x:c r="A211" t="str">
        <x:v>Brien Boise</x:v>
      </x:c>
      <x:c r="B211" t="str">
        <x:v>Australia</x:v>
      </x:c>
      <x:c r="C211" t="str">
        <x:v>Choco Coated Almonds</x:v>
      </x:c>
      <x:c r="D211" s="14" t="n">
        <x:v>44706</x:v>
      </x:c>
      <x:c r="E211" s="16" t="n">
        <x:v>5124</x:v>
      </x:c>
      <x:c r="F211" s="18" t="n">
        <x:v>62</x:v>
      </x:c>
      <x:c r="G211" s="20" t="n">
        <x:f>IFERROR(E211/F211,0)</x:f>
        <x:v>82.64516129032258</x:v>
      </x:c>
      <x:c r="H211" t="str">
        <x:f>TEXT(D211,"mmm")</x:f>
        <x:v>May</x:v>
      </x:c>
      <x:c r="I211" s="22" t="n">
        <x:f>MONTH(D211)</x:f>
        <x:v>5</x:v>
      </x:c>
      <x:c r="J211" s="22" t="n">
        <x:f>YEAR(D211)</x:f>
        <x:v>2022</x:v>
      </x:c>
      <x:c r="K211" t="str">
        <x:f>IF(F211&gt;200,"Large Order","Standard Order")</x:f>
        <x:v>Standard Order</x:v>
      </x:c>
    </x:row>
    <x:row r="212">
      <x:c r="A212" t="str">
        <x:v>Karlen McCaffrey</x:v>
      </x:c>
      <x:c r="B212" t="str">
        <x:v>Canada</x:v>
      </x:c>
      <x:c r="C212" t="str">
        <x:v>Eclairs</x:v>
      </x:c>
      <x:c r="D212" s="14" t="n">
        <x:v>44671</x:v>
      </x:c>
      <x:c r="E212" s="16" t="n">
        <x:v>3479</x:v>
      </x:c>
      <x:c r="F212" s="18" t="n">
        <x:v>358</x:v>
      </x:c>
      <x:c r="G212" s="20" t="n">
        <x:f>IFERROR(E212/F212,0)</x:f>
        <x:v>9.717877094972067</x:v>
      </x:c>
      <x:c r="H212" t="str">
        <x:f>TEXT(D212,"mmm")</x:f>
        <x:v>Apr</x:v>
      </x:c>
      <x:c r="I212" s="22" t="n">
        <x:f>MONTH(D212)</x:f>
        <x:v>4</x:v>
      </x:c>
      <x:c r="J212" s="22" t="n">
        <x:f>YEAR(D212)</x:f>
        <x:v>2022</x:v>
      </x:c>
      <x:c r="K212" t="str">
        <x:f>IF(F212&gt;200,"Large Order","Standard Order")</x:f>
        <x:v>Large Order</x:v>
      </x:c>
    </x:row>
    <x:row r="213">
      <x:c r="A213" t="str">
        <x:v>Gigi Bohling</x:v>
      </x:c>
      <x:c r="B213" t="str">
        <x:v>USA</x:v>
      </x:c>
      <x:c r="C213" t="str">
        <x:v>99% Dark &amp; Pure</x:v>
      </x:c>
      <x:c r="D213" s="14" t="n">
        <x:v>44714</x:v>
      </x:c>
      <x:c r="E213" s="16" t="n">
        <x:v>784</x:v>
      </x:c>
      <x:c r="F213" s="18" t="n">
        <x:v>249</x:v>
      </x:c>
      <x:c r="G213" s="20" t="n">
        <x:f>IFERROR(E213/F213,0)</x:f>
        <x:v>3.1485943775100402</x:v>
      </x:c>
      <x:c r="H213" t="str">
        <x:f>TEXT(D213,"mmm")</x:f>
        <x:v>Jun</x:v>
      </x:c>
      <x:c r="I213" s="22" t="n">
        <x:f>MONTH(D213)</x:f>
        <x:v>6</x:v>
      </x:c>
      <x:c r="J213" s="22" t="n">
        <x:f>YEAR(D213)</x:f>
        <x:v>2022</x:v>
      </x:c>
      <x:c r="K213" t="str">
        <x:f>IF(F213&gt;200,"Large Order","Standard Order")</x:f>
        <x:v>Large Order</x:v>
      </x:c>
    </x:row>
    <x:row r="214">
      <x:c r="A214" t="str">
        <x:v>Marney O'Breen</x:v>
      </x:c>
      <x:c r="B214" t="str">
        <x:v>UK</x:v>
      </x:c>
      <x:c r="C214" t="str">
        <x:v>Smooth Silky Salty</x:v>
      </x:c>
      <x:c r="D214" s="14" t="n">
        <x:v>44694</x:v>
      </x:c>
      <x:c r="E214" s="16" t="n">
        <x:v>18991</x:v>
      </x:c>
      <x:c r="F214" s="18" t="n">
        <x:v>88</x:v>
      </x:c>
      <x:c r="G214" s="20" t="n">
        <x:f>IFERROR(E214/F214,0)</x:f>
        <x:v>215.8068181818182</x:v>
      </x:c>
      <x:c r="H214" t="str">
        <x:f>TEXT(D214,"mmm")</x:f>
        <x:v>May</x:v>
      </x:c>
      <x:c r="I214" s="22" t="n">
        <x:f>MONTH(D214)</x:f>
        <x:v>5</x:v>
      </x:c>
      <x:c r="J214" s="22" t="n">
        <x:f>YEAR(D214)</x:f>
        <x:v>2022</x:v>
      </x:c>
      <x:c r="K214" t="str">
        <x:f>IF(F214&gt;200,"Large Order","Standard Order")</x:f>
        <x:v>Standard Order</x:v>
      </x:c>
    </x:row>
    <x:row r="215">
      <x:c r="A215" t="str">
        <x:v>Beverie Moffet</x:v>
      </x:c>
      <x:c r="B215" t="str">
        <x:v>New Zealand</x:v>
      </x:c>
      <x:c r="C215" t="str">
        <x:v>Baker's Choco Chips</x:v>
      </x:c>
      <x:c r="D215" s="14" t="n">
        <x:v>44776</x:v>
      </x:c>
      <x:c r="E215" s="16" t="n">
        <x:v>1372</x:v>
      </x:c>
      <x:c r="F215" s="18" t="n">
        <x:v>144</x:v>
      </x:c>
      <x:c r="G215" s="20" t="n">
        <x:f>IFERROR(E215/F215,0)</x:f>
        <x:v>9.527777777777779</x:v>
      </x:c>
      <x:c r="H215" t="str">
        <x:f>TEXT(D215,"mmm")</x:f>
        <x:v>Aug</x:v>
      </x:c>
      <x:c r="I215" s="22" t="n">
        <x:f>MONTH(D215)</x:f>
        <x:v>8</x:v>
      </x:c>
      <x:c r="J215" s="22" t="n">
        <x:f>YEAR(D215)</x:f>
        <x:v>2022</x:v>
      </x:c>
      <x:c r="K215" t="str">
        <x:f>IF(F215&gt;200,"Large Order","Standard Order")</x:f>
        <x:v>Standard Order</x:v>
      </x:c>
    </x:row>
    <x:row r="216">
      <x:c r="A216" t="str">
        <x:v>Beverie Moffet</x:v>
      </x:c>
      <x:c r="B216" t="str">
        <x:v>Australia</x:v>
      </x:c>
      <x:c r="C216" t="str">
        <x:v>Milk Bars</x:v>
      </x:c>
      <x:c r="D216" s="14" t="n">
        <x:v>44706</x:v>
      </x:c>
      <x:c r="E216" s="16" t="n">
        <x:v>735</x:v>
      </x:c>
      <x:c r="F216" s="18" t="n">
        <x:v>390</x:v>
      </x:c>
      <x:c r="G216" s="20" t="n">
        <x:f>IFERROR(E216/F216,0)</x:f>
        <x:v>1.8846153846153846</x:v>
      </x:c>
      <x:c r="H216" t="str">
        <x:f>TEXT(D216,"mmm")</x:f>
        <x:v>May</x:v>
      </x:c>
      <x:c r="I216" s="22" t="n">
        <x:f>MONTH(D216)</x:f>
        <x:v>5</x:v>
      </x:c>
      <x:c r="J216" s="22" t="n">
        <x:f>YEAR(D216)</x:f>
        <x:v>2022</x:v>
      </x:c>
      <x:c r="K216" t="str">
        <x:f>IF(F216&gt;200,"Large Order","Standard Order")</x:f>
        <x:v>Large Order</x:v>
      </x:c>
    </x:row>
    <x:row r="217">
      <x:c r="A217" t="str">
        <x:v>Van Tuxwell</x:v>
      </x:c>
      <x:c r="B217" t="str">
        <x:v>UK</x:v>
      </x:c>
      <x:c r="C217" t="str">
        <x:v>Raspberry Choco</x:v>
      </x:c>
      <x:c r="D217" s="14" t="n">
        <x:v>44636</x:v>
      </x:c>
      <x:c r="E217" s="16" t="n">
        <x:v>6538</x:v>
      </x:c>
      <x:c r="F217" s="18" t="n">
        <x:v>79</x:v>
      </x:c>
      <x:c r="G217" s="20" t="n">
        <x:f>IFERROR(E217/F217,0)</x:f>
        <x:v>82.75949367088607</x:v>
      </x:c>
      <x:c r="H217" t="str">
        <x:f>TEXT(D217,"mmm")</x:f>
        <x:v>Mar</x:v>
      </x:c>
      <x:c r="I217" s="22" t="n">
        <x:f>MONTH(D217)</x:f>
        <x:v>3</x:v>
      </x:c>
      <x:c r="J217" s="22" t="n">
        <x:f>YEAR(D217)</x:f>
        <x:v>2022</x:v>
      </x:c>
      <x:c r="K217" t="str">
        <x:f>IF(F217&gt;200,"Large Order","Standard Order")</x:f>
        <x:v>Standard Order</x:v>
      </x:c>
    </x:row>
    <x:row r="218">
      <x:c r="A218" t="str">
        <x:v>Jan Morforth</x:v>
      </x:c>
      <x:c r="B218" t="str">
        <x:v>Australia</x:v>
      </x:c>
      <x:c r="C218" t="str">
        <x:v>Orange Choco</x:v>
      </x:c>
      <x:c r="D218" s="14" t="n">
        <x:v>44746</x:v>
      </x:c>
      <x:c r="E218" s="16" t="n">
        <x:v>3199</x:v>
      </x:c>
      <x:c r="F218" s="18" t="n">
        <x:v>122</x:v>
      </x:c>
      <x:c r="G218" s="20" t="n">
        <x:f>IFERROR(E218/F218,0)</x:f>
        <x:v>26.221311475409838</x:v>
      </x:c>
      <x:c r="H218" t="str">
        <x:f>TEXT(D218,"mmm")</x:f>
        <x:v>Jul</x:v>
      </x:c>
      <x:c r="I218" s="22" t="n">
        <x:f>MONTH(D218)</x:f>
        <x:v>7</x:v>
      </x:c>
      <x:c r="J218" s="22" t="n">
        <x:f>YEAR(D218)</x:f>
        <x:v>2022</x:v>
      </x:c>
      <x:c r="K218" t="str">
        <x:f>IF(F218&gt;200,"Large Order","Standard Order")</x:f>
        <x:v>Standard Order</x:v>
      </x:c>
    </x:row>
    <x:row r="219">
      <x:c r="A219" t="str">
        <x:v>Jehu Rudeforth</x:v>
      </x:c>
      <x:c r="B219" t="str">
        <x:v>India</x:v>
      </x:c>
      <x:c r="C219" t="str">
        <x:v>50% Dark Bites</x:v>
      </x:c>
      <x:c r="D219" s="14" t="n">
        <x:v>44747</x:v>
      </x:c>
      <x:c r="E219" s="16" t="n">
        <x:v>3472</x:v>
      </x:c>
      <x:c r="F219" s="18" t="n">
        <x:v>135</x:v>
      </x:c>
      <x:c r="G219" s="20" t="n">
        <x:f>IFERROR(E219/F219,0)</x:f>
        <x:v>25.71851851851852</x:v>
      </x:c>
      <x:c r="H219" t="str">
        <x:f>TEXT(D219,"mmm")</x:f>
        <x:v>Jul</x:v>
      </x:c>
      <x:c r="I219" s="22" t="n">
        <x:f>MONTH(D219)</x:f>
        <x:v>7</x:v>
      </x:c>
      <x:c r="J219" s="22" t="n">
        <x:f>YEAR(D219)</x:f>
        <x:v>2022</x:v>
      </x:c>
      <x:c r="K219" t="str">
        <x:f>IF(F219&gt;200,"Large Order","Standard Order")</x:f>
        <x:v>Standard Order</x:v>
      </x:c>
    </x:row>
    <x:row r="220">
      <x:c r="A220" t="str">
        <x:v>Madelene Upcott</x:v>
      </x:c>
      <x:c r="B220" t="str">
        <x:v>USA</x:v>
      </x:c>
      <x:c r="C220" t="str">
        <x:v>After Nines</x:v>
      </x:c>
      <x:c r="D220" s="14" t="n">
        <x:v>44635</x:v>
      </x:c>
      <x:c r="E220" s="16" t="n">
        <x:v>4571</x:v>
      </x:c>
      <x:c r="F220" s="18" t="n">
        <x:v>430</x:v>
      </x:c>
      <x:c r="G220" s="20" t="n">
        <x:f>IFERROR(E220/F220,0)</x:f>
        <x:v>10.630232558139534</x:v>
      </x:c>
      <x:c r="H220" t="str">
        <x:f>TEXT(D220,"mmm")</x:f>
        <x:v>Mar</x:v>
      </x:c>
      <x:c r="I220" s="22" t="n">
        <x:f>MONTH(D220)</x:f>
        <x:v>3</x:v>
      </x:c>
      <x:c r="J220" s="22" t="n">
        <x:f>YEAR(D220)</x:f>
        <x:v>2022</x:v>
      </x:c>
      <x:c r="K220" t="str">
        <x:f>IF(F220&gt;200,"Large Order","Standard Order")</x:f>
        <x:v>Large Order</x:v>
      </x:c>
    </x:row>
    <x:row r="221">
      <x:c r="A221" t="str">
        <x:v>Barr Faughny</x:v>
      </x:c>
      <x:c r="B221" t="str">
        <x:v>UK</x:v>
      </x:c>
      <x:c r="C221" t="str">
        <x:v>Raspberry Choco</x:v>
      </x:c>
      <x:c r="D221" s="14" t="n">
        <x:v>44795</x:v>
      </x:c>
      <x:c r="E221" s="16" t="n">
        <x:v>5481</x:v>
      </x:c>
      <x:c r="F221" s="18" t="n">
        <x:v>69</x:v>
      </x:c>
      <x:c r="G221" s="20" t="n">
        <x:f>IFERROR(E221/F221,0)</x:f>
        <x:v>79.43478260869566</x:v>
      </x:c>
      <x:c r="H221" t="str">
        <x:f>TEXT(D221,"mmm")</x:f>
        <x:v>Aug</x:v>
      </x:c>
      <x:c r="I221" s="22" t="n">
        <x:f>MONTH(D221)</x:f>
        <x:v>8</x:v>
      </x:c>
      <x:c r="J221" s="22" t="n">
        <x:f>YEAR(D221)</x:f>
        <x:v>2022</x:v>
      </x:c>
      <x:c r="K221" t="str">
        <x:f>IF(F221&gt;200,"Large Order","Standard Order")</x:f>
        <x:v>Standard Order</x:v>
      </x:c>
    </x:row>
    <x:row r="222">
      <x:c r="A222" t="str">
        <x:v>Ches Bonnell</x:v>
      </x:c>
      <x:c r="B222" t="str">
        <x:v>Australia</x:v>
      </x:c>
      <x:c r="C222" t="str">
        <x:v>70% Dark Bites</x:v>
      </x:c>
      <x:c r="D222" s="14" t="n">
        <x:v>44573</x:v>
      </x:c>
      <x:c r="E222" s="16" t="n">
        <x:v>3136</x:v>
      </x:c>
      <x:c r="F222" s="18" t="n">
        <x:v>125</x:v>
      </x:c>
      <x:c r="G222" s="20" t="n">
        <x:f>IFERROR(E222/F222,0)</x:f>
        <x:v>25.088</x:v>
      </x:c>
      <x:c r="H222" t="str">
        <x:f>TEXT(D222,"mmm")</x:f>
        <x:v>Jan</x:v>
      </x:c>
      <x:c r="I222" s="22" t="n">
        <x:f>MONTH(D222)</x:f>
        <x:v>1</x:v>
      </x:c>
      <x:c r="J222" s="22" t="n">
        <x:f>YEAR(D222)</x:f>
        <x:v>2022</x:v>
      </x:c>
      <x:c r="K222" t="str">
        <x:f>IF(F222&gt;200,"Large Order","Standard Order")</x:f>
        <x:v>Standard Order</x:v>
      </x:c>
    </x:row>
    <x:row r="223">
      <x:c r="A223" t="str">
        <x:v>Marney O'Breen</x:v>
      </x:c>
      <x:c r="B223" t="str">
        <x:v>UK</x:v>
      </x:c>
      <x:c r="C223" t="str">
        <x:v>Baker's Choco Chips</x:v>
      </x:c>
      <x:c r="D223" s="14" t="n">
        <x:v>44722</x:v>
      </x:c>
      <x:c r="E223" s="16" t="n">
        <x:v>252</x:v>
      </x:c>
      <x:c r="F223" s="18" t="n">
        <x:v>154</x:v>
      </x:c>
      <x:c r="G223" s="20" t="n">
        <x:f>IFERROR(E223/F223,0)</x:f>
        <x:v>1.6363636363636365</x:v>
      </x:c>
      <x:c r="H223" t="str">
        <x:f>TEXT(D223,"mmm")</x:f>
        <x:v>Jun</x:v>
      </x:c>
      <x:c r="I223" s="22" t="n">
        <x:f>MONTH(D223)</x:f>
        <x:v>6</x:v>
      </x:c>
      <x:c r="J223" s="22" t="n">
        <x:f>YEAR(D223)</x:f>
        <x:v>2022</x:v>
      </x:c>
      <x:c r="K223" t="str">
        <x:f>IF(F223&gt;200,"Large Order","Standard Order")</x:f>
        <x:v>Standard Order</x:v>
      </x:c>
    </x:row>
    <x:row r="224">
      <x:c r="A224" t="str">
        <x:v>Kaine Padly</x:v>
      </x:c>
      <x:c r="B224" t="str">
        <x:v>Australia</x:v>
      </x:c>
      <x:c r="C224" t="str">
        <x:v>Peanut Butter Cubes</x:v>
      </x:c>
      <x:c r="D224" s="14" t="n">
        <x:v>44645</x:v>
      </x:c>
      <x:c r="E224" s="16" t="n">
        <x:v>5460</x:v>
      </x:c>
      <x:c r="F224" s="18" t="n">
        <x:v>286</x:v>
      </x:c>
      <x:c r="G224" s="20" t="n">
        <x:f>IFERROR(E224/F224,0)</x:f>
        <x:v>19.09090909090909</x:v>
      </x:c>
      <x:c r="H224" t="str">
        <x:f>TEXT(D224,"mmm")</x:f>
        <x:v>Mar</x:v>
      </x:c>
      <x:c r="I224" s="22" t="n">
        <x:f>MONTH(D224)</x:f>
        <x:v>3</x:v>
      </x:c>
      <x:c r="J224" s="22" t="n">
        <x:f>YEAR(D224)</x:f>
        <x:v>2022</x:v>
      </x:c>
      <x:c r="K224" t="str">
        <x:f>IF(F224&gt;200,"Large Order","Standard Order")</x:f>
        <x:v>Large Order</x:v>
      </x:c>
    </x:row>
    <x:row r="225">
      <x:c r="A225" t="str">
        <x:v>Rafaelita Blaksland</x:v>
      </x:c>
      <x:c r="B225" t="str">
        <x:v>India</x:v>
      </x:c>
      <x:c r="C225" t="str">
        <x:v>Almond Choco</x:v>
      </x:c>
      <x:c r="D225" s="14" t="n">
        <x:v>44769</x:v>
      </x:c>
      <x:c r="E225" s="16" t="n">
        <x:v>3395</x:v>
      </x:c>
      <x:c r="F225" s="18" t="n">
        <x:v>99</x:v>
      </x:c>
      <x:c r="G225" s="20" t="n">
        <x:f>IFERROR(E225/F225,0)</x:f>
        <x:v>34.292929292929294</x:v>
      </x:c>
      <x:c r="H225" t="str">
        <x:f>TEXT(D225,"mmm")</x:f>
        <x:v>Jul</x:v>
      </x:c>
      <x:c r="I225" s="22" t="n">
        <x:f>MONTH(D225)</x:f>
        <x:v>7</x:v>
      </x:c>
      <x:c r="J225" s="22" t="n">
        <x:f>YEAR(D225)</x:f>
        <x:v>2022</x:v>
      </x:c>
      <x:c r="K225" t="str">
        <x:f>IF(F225&gt;200,"Large Order","Standard Order")</x:f>
        <x:v>Standard Order</x:v>
      </x:c>
    </x:row>
    <x:row r="226">
      <x:c r="A226" t="str">
        <x:v>Husein Augar</x:v>
      </x:c>
      <x:c r="B226" t="str">
        <x:v>UK</x:v>
      </x:c>
      <x:c r="C226" t="str">
        <x:v>Caramel Stuffed Bars</x:v>
      </x:c>
      <x:c r="D226" s="14" t="n">
        <x:v>44666</x:v>
      </x:c>
      <x:c r="E226" s="16" t="n">
        <x:v>14938</x:v>
      </x:c>
      <x:c r="F226" s="18" t="n">
        <x:v>433</x:v>
      </x:c>
      <x:c r="G226" s="20" t="n">
        <x:f>IFERROR(E226/F226,0)</x:f>
        <x:v>34.49884526558891</x:v>
      </x:c>
      <x:c r="H226" t="str">
        <x:f>TEXT(D226,"mmm")</x:f>
        <x:v>Apr</x:v>
      </x:c>
      <x:c r="I226" s="22" t="n">
        <x:f>MONTH(D226)</x:f>
        <x:v>4</x:v>
      </x:c>
      <x:c r="J226" s="22" t="n">
        <x:f>YEAR(D226)</x:f>
        <x:v>2022</x:v>
      </x:c>
      <x:c r="K226" t="str">
        <x:f>IF(F226&gt;200,"Large Order","Standard Order")</x:f>
        <x:v>Large Order</x:v>
      </x:c>
    </x:row>
    <x:row r="227">
      <x:c r="A227" t="str">
        <x:v>Roddy Speechley</x:v>
      </x:c>
      <x:c r="B227" t="str">
        <x:v>India</x:v>
      </x:c>
      <x:c r="C227" t="str">
        <x:v>Orange Choco</x:v>
      </x:c>
      <x:c r="D227" s="14" t="n">
        <x:v>44739</x:v>
      </x:c>
      <x:c r="E227" s="16" t="n">
        <x:v>4053</x:v>
      </x:c>
      <x:c r="F227" s="18" t="n">
        <x:v>19</x:v>
      </x:c>
      <x:c r="G227" s="20" t="n">
        <x:f>IFERROR(E227/F227,0)</x:f>
        <x:v>213.31578947368422</x:v>
      </x:c>
      <x:c r="H227" t="str">
        <x:f>TEXT(D227,"mmm")</x:f>
        <x:v>Jun</x:v>
      </x:c>
      <x:c r="I227" s="22" t="n">
        <x:f>MONTH(D227)</x:f>
        <x:v>6</x:v>
      </x:c>
      <x:c r="J227" s="22" t="n">
        <x:f>YEAR(D227)</x:f>
        <x:v>2022</x:v>
      </x:c>
      <x:c r="K227" t="str">
        <x:f>IF(F227&gt;200,"Large Order","Standard Order")</x:f>
        <x:v>Standard Order</x:v>
      </x:c>
    </x:row>
    <x:row r="228">
      <x:c r="A228" t="str">
        <x:v>Jehu Rudeforth</x:v>
      </x:c>
      <x:c r="B228" t="str">
        <x:v>UK</x:v>
      </x:c>
      <x:c r="C228" t="str">
        <x:v>70% Dark Bites</x:v>
      </x:c>
      <x:c r="D228" s="14" t="n">
        <x:v>44665</x:v>
      </x:c>
      <x:c r="E228" s="16" t="n">
        <x:v>5565</x:v>
      </x:c>
      <x:c r="F228" s="18" t="n">
        <x:v>258</x:v>
      </x:c>
      <x:c r="G228" s="20" t="n">
        <x:f>IFERROR(E228/F228,0)</x:f>
        <x:v>21.569767441860463</x:v>
      </x:c>
      <x:c r="H228" t="str">
        <x:f>TEXT(D228,"mmm")</x:f>
        <x:v>Apr</x:v>
      </x:c>
      <x:c r="I228" s="22" t="n">
        <x:f>MONTH(D228)</x:f>
        <x:v>4</x:v>
      </x:c>
      <x:c r="J228" s="22" t="n">
        <x:f>YEAR(D228)</x:f>
        <x:v>2022</x:v>
      </x:c>
      <x:c r="K228" t="str">
        <x:f>IF(F228&gt;200,"Large Order","Standard Order")</x:f>
        <x:v>Large Order</x:v>
      </x:c>
    </x:row>
    <x:row r="229">
      <x:c r="A229" t="str">
        <x:v>Husein Augar</x:v>
      </x:c>
      <x:c r="B229" t="str">
        <x:v>Australia</x:v>
      </x:c>
      <x:c r="C229" t="str">
        <x:v>Manuka Honey Choco</x:v>
      </x:c>
      <x:c r="D229" s="14" t="n">
        <x:v>44635</x:v>
      </x:c>
      <x:c r="E229" s="16" t="n">
        <x:v>7161</x:v>
      </x:c>
      <x:c r="F229" s="18" t="n">
        <x:v>92</x:v>
      </x:c>
      <x:c r="G229" s="20" t="n">
        <x:f>IFERROR(E229/F229,0)</x:f>
        <x:v>77.83695652173913</x:v>
      </x:c>
      <x:c r="H229" t="str">
        <x:f>TEXT(D229,"mmm")</x:f>
        <x:v>Mar</x:v>
      </x:c>
      <x:c r="I229" s="22" t="n">
        <x:f>MONTH(D229)</x:f>
        <x:v>3</x:v>
      </x:c>
      <x:c r="J229" s="22" t="n">
        <x:f>YEAR(D229)</x:f>
        <x:v>2022</x:v>
      </x:c>
      <x:c r="K229" t="str">
        <x:f>IF(F229&gt;200,"Large Order","Standard Order")</x:f>
        <x:v>Standard Order</x:v>
      </x:c>
    </x:row>
    <x:row r="230">
      <x:c r="A230" t="str">
        <x:v>Madelene Upcott</x:v>
      </x:c>
      <x:c r="B230" t="str">
        <x:v>USA</x:v>
      </x:c>
      <x:c r="C230" t="str">
        <x:v>Eclairs</x:v>
      </x:c>
      <x:c r="D230" s="14" t="n">
        <x:v>44638</x:v>
      </x:c>
      <x:c r="E230" s="16" t="n">
        <x:v>8883</x:v>
      </x:c>
      <x:c r="F230" s="18" t="n">
        <x:v>200</x:v>
      </x:c>
      <x:c r="G230" s="20" t="n">
        <x:f>IFERROR(E230/F230,0)</x:f>
        <x:v>44.415</x:v>
      </x:c>
      <x:c r="H230" t="str">
        <x:f>TEXT(D230,"mmm")</x:f>
        <x:v>Mar</x:v>
      </x:c>
      <x:c r="I230" s="22" t="n">
        <x:f>MONTH(D230)</x:f>
        <x:v>3</x:v>
      </x:c>
      <x:c r="J230" s="22" t="n">
        <x:f>YEAR(D230)</x:f>
        <x:v>2022</x:v>
      </x:c>
      <x:c r="K230" t="str">
        <x:f>IF(F230&gt;200,"Large Order","Standard Order")</x:f>
        <x:v>Standard Order</x:v>
      </x:c>
    </x:row>
    <x:row r="231">
      <x:c r="A231" t="str">
        <x:v>Brien Boise</x:v>
      </x:c>
      <x:c r="B231" t="str">
        <x:v>India</x:v>
      </x:c>
      <x:c r="C231" t="str">
        <x:v>Eclairs</x:v>
      </x:c>
      <x:c r="D231" s="14" t="n">
        <x:v>44680</x:v>
      </x:c>
      <x:c r="E231" s="16" t="n">
        <x:v>1351</x:v>
      </x:c>
      <x:c r="F231" s="18" t="n">
        <x:v>61</x:v>
      </x:c>
      <x:c r="G231" s="20" t="n">
        <x:f>IFERROR(E231/F231,0)</x:f>
        <x:v>22.147540983606557</x:v>
      </x:c>
      <x:c r="H231" t="str">
        <x:f>TEXT(D231,"mmm")</x:f>
        <x:v>Apr</x:v>
      </x:c>
      <x:c r="I231" s="22" t="n">
        <x:f>MONTH(D231)</x:f>
        <x:v>4</x:v>
      </x:c>
      <x:c r="J231" s="22" t="n">
        <x:f>YEAR(D231)</x:f>
        <x:v>2022</x:v>
      </x:c>
      <x:c r="K231" t="str">
        <x:f>IF(F231&gt;200,"Large Order","Standard Order")</x:f>
        <x:v>Standard Order</x:v>
      </x:c>
    </x:row>
    <x:row r="232">
      <x:c r="A232" t="str">
        <x:v>Mallorie Waber</x:v>
      </x:c>
      <x:c r="B232" t="str">
        <x:v>New Zealand</x:v>
      </x:c>
      <x:c r="C232" t="str">
        <x:v>White Choc</x:v>
      </x:c>
      <x:c r="D232" s="14" t="n">
        <x:v>44617</x:v>
      </x:c>
      <x:c r="E232" s="16" t="n">
        <x:v>3171</x:v>
      </x:c>
      <x:c r="F232" s="18" t="n">
        <x:v>246</x:v>
      </x:c>
      <x:c r="G232" s="20" t="n">
        <x:f>IFERROR(E232/F232,0)</x:f>
        <x:v>12.890243902439025</x:v>
      </x:c>
      <x:c r="H232" t="str">
        <x:f>TEXT(D232,"mmm")</x:f>
        <x:v>Feb</x:v>
      </x:c>
      <x:c r="I232" s="22" t="n">
        <x:f>MONTH(D232)</x:f>
        <x:v>2</x:v>
      </x:c>
      <x:c r="J232" s="22" t="n">
        <x:f>YEAR(D232)</x:f>
        <x:v>2022</x:v>
      </x:c>
      <x:c r="K232" t="str">
        <x:f>IF(F232&gt;200,"Large Order","Standard Order")</x:f>
        <x:v>Large Order</x:v>
      </x:c>
    </x:row>
    <x:row r="233">
      <x:c r="A233" t="str">
        <x:v>Husein Augar</x:v>
      </x:c>
      <x:c r="B233" t="str">
        <x:v>USA</x:v>
      </x:c>
      <x:c r="C233" t="str">
        <x:v>Milk Bars</x:v>
      </x:c>
      <x:c r="D233" s="14" t="n">
        <x:v>44622</x:v>
      </x:c>
      <x:c r="E233" s="16" t="n">
        <x:v>854</x:v>
      </x:c>
      <x:c r="F233" s="18" t="n">
        <x:v>56</x:v>
      </x:c>
      <x:c r="G233" s="20" t="n">
        <x:f>IFERROR(E233/F233,0)</x:f>
        <x:v>15.25</x:v>
      </x:c>
      <x:c r="H233" t="str">
        <x:f>TEXT(D233,"mmm")</x:f>
        <x:v>Mar</x:v>
      </x:c>
      <x:c r="I233" s="22" t="n">
        <x:f>MONTH(D233)</x:f>
        <x:v>3</x:v>
      </x:c>
      <x:c r="J233" s="22" t="n">
        <x:f>YEAR(D233)</x:f>
        <x:v>2022</x:v>
      </x:c>
      <x:c r="K233" t="str">
        <x:f>IF(F233&gt;200,"Large Order","Standard Order")</x:f>
        <x:v>Standard Order</x:v>
      </x:c>
    </x:row>
    <x:row r="234">
      <x:c r="A234" t="str">
        <x:v>Van Tuxwell</x:v>
      </x:c>
      <x:c r="B234" t="str">
        <x:v>Australia</x:v>
      </x:c>
      <x:c r="C234" t="str">
        <x:v>Milk Bars</x:v>
      </x:c>
      <x:c r="D234" s="14" t="n">
        <x:v>44732</x:v>
      </x:c>
      <x:c r="E234" s="16" t="n">
        <x:v>7910</x:v>
      </x:c>
      <x:c r="F234" s="18" t="n">
        <x:v>87</x:v>
      </x:c>
      <x:c r="G234" s="20" t="n">
        <x:f>IFERROR(E234/F234,0)</x:f>
        <x:v>90.91954022988506</x:v>
      </x:c>
      <x:c r="H234" t="str">
        <x:f>TEXT(D234,"mmm")</x:f>
        <x:v>Jun</x:v>
      </x:c>
      <x:c r="I234" s="22" t="n">
        <x:f>MONTH(D234)</x:f>
        <x:v>6</x:v>
      </x:c>
      <x:c r="J234" s="22" t="n">
        <x:f>YEAR(D234)</x:f>
        <x:v>2022</x:v>
      </x:c>
      <x:c r="K234" t="str">
        <x:f>IF(F234&gt;200,"Large Order","Standard Order")</x:f>
        <x:v>Standard Order</x:v>
      </x:c>
    </x:row>
    <x:row r="235">
      <x:c r="A235" t="str">
        <x:v>Beverie Moffet</x:v>
      </x:c>
      <x:c r="B235" t="str">
        <x:v>Canada</x:v>
      </x:c>
      <x:c r="C235" t="str">
        <x:v>White Choc</x:v>
      </x:c>
      <x:c r="D235" s="14" t="n">
        <x:v>44757</x:v>
      </x:c>
      <x:c r="E235" s="16" t="n">
        <x:v>9275</x:v>
      </x:c>
      <x:c r="F235" s="18" t="n">
        <x:v>173</x:v>
      </x:c>
      <x:c r="G235" s="20" t="n">
        <x:f>IFERROR(E235/F235,0)</x:f>
        <x:v>53.61271676300578</x:v>
      </x:c>
      <x:c r="H235" t="str">
        <x:f>TEXT(D235,"mmm")</x:f>
        <x:v>Jul</x:v>
      </x:c>
      <x:c r="I235" s="22" t="n">
        <x:f>MONTH(D235)</x:f>
        <x:v>7</x:v>
      </x:c>
      <x:c r="J235" s="22" t="n">
        <x:f>YEAR(D235)</x:f>
        <x:v>2022</x:v>
      </x:c>
      <x:c r="K235" t="str">
        <x:f>IF(F235&gt;200,"Large Order","Standard Order")</x:f>
        <x:v>Standard Order</x:v>
      </x:c>
    </x:row>
    <x:row r="236">
      <x:c r="A236" t="str">
        <x:v>Dotty Strutley</x:v>
      </x:c>
      <x:c r="B236" t="str">
        <x:v>Australia</x:v>
      </x:c>
      <x:c r="C236" t="str">
        <x:v>50% Dark Bites</x:v>
      </x:c>
      <x:c r="D236" s="14" t="n">
        <x:v>44693</x:v>
      </x:c>
      <x:c r="E236" s="16" t="n">
        <x:v>3108</x:v>
      </x:c>
      <x:c r="F236" s="18" t="n">
        <x:v>252</x:v>
      </x:c>
      <x:c r="G236" s="20" t="n">
        <x:f>IFERROR(E236/F236,0)</x:f>
        <x:v>12.333333333333334</x:v>
      </x:c>
      <x:c r="H236" t="str">
        <x:f>TEXT(D236,"mmm")</x:f>
        <x:v>May</x:v>
      </x:c>
      <x:c r="I236" s="22" t="n">
        <x:f>MONTH(D236)</x:f>
        <x:v>5</x:v>
      </x:c>
      <x:c r="J236" s="22" t="n">
        <x:f>YEAR(D236)</x:f>
        <x:v>2022</x:v>
      </x:c>
      <x:c r="K236" t="str">
        <x:f>IF(F236&gt;200,"Large Order","Standard Order")</x:f>
        <x:v>Large Order</x:v>
      </x:c>
    </x:row>
    <x:row r="237">
      <x:c r="A237" t="str">
        <x:v>Mallorie Waber</x:v>
      </x:c>
      <x:c r="B237" t="str">
        <x:v>New Zealand</x:v>
      </x:c>
      <x:c r="C237" t="str">
        <x:v>Organic Choco Syrup</x:v>
      </x:c>
      <x:c r="D237" s="14" t="n">
        <x:v>44743</x:v>
      </x:c>
      <x:c r="E237" s="16" t="n">
        <x:v>5075</x:v>
      </x:c>
      <x:c r="F237" s="18" t="n">
        <x:v>256</x:v>
      </x:c>
      <x:c r="G237" s="20" t="n">
        <x:f>IFERROR(E237/F237,0)</x:f>
        <x:v>19.82421875</x:v>
      </x:c>
      <x:c r="H237" t="str">
        <x:f>TEXT(D237,"mmm")</x:f>
        <x:v>Jul</x:v>
      </x:c>
      <x:c r="I237" s="22" t="n">
        <x:f>MONTH(D237)</x:f>
        <x:v>7</x:v>
      </x:c>
      <x:c r="J237" s="22" t="n">
        <x:f>YEAR(D237)</x:f>
        <x:v>2022</x:v>
      </x:c>
      <x:c r="K237" t="str">
        <x:f>IF(F237&gt;200,"Large Order","Standard Order")</x:f>
        <x:v>Large Order</x:v>
      </x:c>
    </x:row>
    <x:row r="238">
      <x:c r="A238" t="str">
        <x:v>Husein Augar</x:v>
      </x:c>
      <x:c r="B238" t="str">
        <x:v>USA</x:v>
      </x:c>
      <x:c r="C238" t="str">
        <x:v>85% Dark Bars</x:v>
      </x:c>
      <x:c r="D238" s="14" t="n">
        <x:v>44781</x:v>
      </x:c>
      <x:c r="E238" s="16" t="n">
        <x:v>378</x:v>
      </x:c>
      <x:c r="F238" s="18" t="n">
        <x:v>54</x:v>
      </x:c>
      <x:c r="G238" s="20" t="n">
        <x:f>IFERROR(E238/F238,0)</x:f>
        <x:v>7</x:v>
      </x:c>
      <x:c r="H238" t="str">
        <x:f>TEXT(D238,"mmm")</x:f>
        <x:v>Aug</x:v>
      </x:c>
      <x:c r="I238" s="22" t="n">
        <x:f>MONTH(D238)</x:f>
        <x:v>8</x:v>
      </x:c>
      <x:c r="J238" s="22" t="n">
        <x:f>YEAR(D238)</x:f>
        <x:v>2022</x:v>
      </x:c>
      <x:c r="K238" t="str">
        <x:f>IF(F238&gt;200,"Large Order","Standard Order")</x:f>
        <x:v>Standard Order</x:v>
      </x:c>
    </x:row>
    <x:row r="239">
      <x:c r="A239" t="str">
        <x:v>Madelene Upcott</x:v>
      </x:c>
      <x:c r="B239" t="str">
        <x:v>Australia</x:v>
      </x:c>
      <x:c r="C239" t="str">
        <x:v>50% Dark Bites</x:v>
      </x:c>
      <x:c r="D239" s="14" t="n">
        <x:v>44767</x:v>
      </x:c>
      <x:c r="E239" s="16" t="n">
        <x:v>7350</x:v>
      </x:c>
      <x:c r="F239" s="18" t="n">
        <x:v>6</x:v>
      </x:c>
      <x:c r="G239" s="20" t="n">
        <x:f>IFERROR(E239/F239,0)</x:f>
        <x:v>1225</x:v>
      </x:c>
      <x:c r="H239" t="str">
        <x:f>TEXT(D239,"mmm")</x:f>
        <x:v>Jul</x:v>
      </x:c>
      <x:c r="I239" s="22" t="n">
        <x:f>MONTH(D239)</x:f>
        <x:v>7</x:v>
      </x:c>
      <x:c r="J239" s="22" t="n">
        <x:f>YEAR(D239)</x:f>
        <x:v>2022</x:v>
      </x:c>
      <x:c r="K239" t="str">
        <x:f>IF(F239&gt;200,"Large Order","Standard Order")</x:f>
        <x:v>Standard Order</x:v>
      </x:c>
    </x:row>
    <x:row r="240">
      <x:c r="A240" t="str">
        <x:v>Wilone O'Kielt</x:v>
      </x:c>
      <x:c r="B240" t="str">
        <x:v>UK</x:v>
      </x:c>
      <x:c r="C240" t="str">
        <x:v>Drinking Coco</x:v>
      </x:c>
      <x:c r="D240" s="14" t="n">
        <x:v>44699</x:v>
      </x:c>
      <x:c r="E240" s="16" t="n">
        <x:v>3388</x:v>
      </x:c>
      <x:c r="F240" s="18" t="n">
        <x:v>55</x:v>
      </x:c>
      <x:c r="G240" s="20" t="n">
        <x:f>IFERROR(E240/F240,0)</x:f>
        <x:v>61.6</x:v>
      </x:c>
      <x:c r="H240" t="str">
        <x:f>TEXT(D240,"mmm")</x:f>
        <x:v>May</x:v>
      </x:c>
      <x:c r="I240" s="22" t="n">
        <x:f>MONTH(D240)</x:f>
        <x:v>5</x:v>
      </x:c>
      <x:c r="J240" s="22" t="n">
        <x:f>YEAR(D240)</x:f>
        <x:v>2022</x:v>
      </x:c>
      <x:c r="K240" t="str">
        <x:f>IF(F240&gt;200,"Large Order","Standard Order")</x:f>
        <x:v>Standard Order</x:v>
      </x:c>
    </x:row>
    <x:row r="241">
      <x:c r="A241" t="str">
        <x:v>Camilla Castle</x:v>
      </x:c>
      <x:c r="B241" t="str">
        <x:v>India</x:v>
      </x:c>
      <x:c r="C241" t="str">
        <x:v>Peanut Butter Cubes</x:v>
      </x:c>
      <x:c r="D241" s="14" t="n">
        <x:v>44757</x:v>
      </x:c>
      <x:c r="E241" s="16" t="n">
        <x:v>11837</x:v>
      </x:c>
      <x:c r="F241" s="18" t="n">
        <x:v>277</x:v>
      </x:c>
      <x:c r="G241" s="20" t="n">
        <x:f>IFERROR(E241/F241,0)</x:f>
        <x:v>42.73285198555957</x:v>
      </x:c>
      <x:c r="H241" t="str">
        <x:f>TEXT(D241,"mmm")</x:f>
        <x:v>Jul</x:v>
      </x:c>
      <x:c r="I241" s="22" t="n">
        <x:f>MONTH(D241)</x:f>
        <x:v>7</x:v>
      </x:c>
      <x:c r="J241" s="22" t="n">
        <x:f>YEAR(D241)</x:f>
        <x:v>2022</x:v>
      </x:c>
      <x:c r="K241" t="str">
        <x:f>IF(F241&gt;200,"Large Order","Standard Order")</x:f>
        <x:v>Large Order</x:v>
      </x:c>
    </x:row>
    <x:row r="242">
      <x:c r="A242" t="str">
        <x:v>Curtice Advani</x:v>
      </x:c>
      <x:c r="B242" t="str">
        <x:v>India</x:v>
      </x:c>
      <x:c r="C242" t="str">
        <x:v>70% Dark Bites</x:v>
      </x:c>
      <x:c r="D242" s="14" t="n">
        <x:v>44747</x:v>
      </x:c>
      <x:c r="E242" s="16" t="n">
        <x:v>2282</x:v>
      </x:c>
      <x:c r="F242" s="18" t="n">
        <x:v>44</x:v>
      </x:c>
      <x:c r="G242" s="20" t="n">
        <x:f>IFERROR(E242/F242,0)</x:f>
        <x:v>51.86363636363637</x:v>
      </x:c>
      <x:c r="H242" t="str">
        <x:f>TEXT(D242,"mmm")</x:f>
        <x:v>Jul</x:v>
      </x:c>
      <x:c r="I242" s="22" t="n">
        <x:f>MONTH(D242)</x:f>
        <x:v>7</x:v>
      </x:c>
      <x:c r="J242" s="22" t="n">
        <x:f>YEAR(D242)</x:f>
        <x:v>2022</x:v>
      </x:c>
      <x:c r="K242" t="str">
        <x:f>IF(F242&gt;200,"Large Order","Standard Order")</x:f>
        <x:v>Standard Order</x:v>
      </x:c>
    </x:row>
    <x:row r="243">
      <x:c r="A243" t="str">
        <x:v>Mallorie Waber</x:v>
      </x:c>
      <x:c r="B243" t="str">
        <x:v>USA</x:v>
      </x:c>
      <x:c r="C243" t="str">
        <x:v>Manuka Honey Choco</x:v>
      </x:c>
      <x:c r="D243" s="14" t="n">
        <x:v>44746</x:v>
      </x:c>
      <x:c r="E243" s="16" t="n">
        <x:v>5425</x:v>
      </x:c>
      <x:c r="F243" s="18" t="n">
        <x:v>96</x:v>
      </x:c>
      <x:c r="G243" s="20" t="n">
        <x:f>IFERROR(E243/F243,0)</x:f>
        <x:v>56.510416666666664</x:v>
      </x:c>
      <x:c r="H243" t="str">
        <x:f>TEXT(D243,"mmm")</x:f>
        <x:v>Jul</x:v>
      </x:c>
      <x:c r="I243" s="22" t="n">
        <x:f>MONTH(D243)</x:f>
        <x:v>7</x:v>
      </x:c>
      <x:c r="J243" s="22" t="n">
        <x:f>YEAR(D243)</x:f>
        <x:v>2022</x:v>
      </x:c>
      <x:c r="K243" t="str">
        <x:f>IF(F243&gt;200,"Large Order","Standard Order")</x:f>
        <x:v>Standard Order</x:v>
      </x:c>
    </x:row>
    <x:row r="244">
      <x:c r="A244" t="str">
        <x:v>Dotty Strutley</x:v>
      </x:c>
      <x:c r="B244" t="str">
        <x:v>UK</x:v>
      </x:c>
      <x:c r="C244" t="str">
        <x:v>70% Dark Bites</x:v>
      </x:c>
      <x:c r="D244" s="14" t="n">
        <x:v>44732</x:v>
      </x:c>
      <x:c r="E244" s="16" t="n">
        <x:v>1267</x:v>
      </x:c>
      <x:c r="F244" s="18" t="n">
        <x:v>216</x:v>
      </x:c>
      <x:c r="G244" s="20" t="n">
        <x:f>IFERROR(E244/F244,0)</x:f>
        <x:v>5.8657407407407405</x:v>
      </x:c>
      <x:c r="H244" t="str">
        <x:f>TEXT(D244,"mmm")</x:f>
        <x:v>Jun</x:v>
      </x:c>
      <x:c r="I244" s="22" t="n">
        <x:f>MONTH(D244)</x:f>
        <x:v>6</x:v>
      </x:c>
      <x:c r="J244" s="22" t="n">
        <x:f>YEAR(D244)</x:f>
        <x:v>2022</x:v>
      </x:c>
      <x:c r="K244" t="str">
        <x:f>IF(F244&gt;200,"Large Order","Standard Order")</x:f>
        <x:v>Large Order</x:v>
      </x:c>
    </x:row>
    <x:row r="245">
      <x:c r="A245" t="str">
        <x:v>Gunar Cockshoot</x:v>
      </x:c>
      <x:c r="B245" t="str">
        <x:v>Australia</x:v>
      </x:c>
      <x:c r="C245" t="str">
        <x:v>Almond Choco</x:v>
      </x:c>
      <x:c r="D245" s="14" t="n">
        <x:v>44586</x:v>
      </x:c>
      <x:c r="E245" s="16" t="n">
        <x:v>3752</x:v>
      </x:c>
      <x:c r="F245" s="18" t="n">
        <x:v>424</x:v>
      </x:c>
      <x:c r="G245" s="20" t="n">
        <x:f>IFERROR(E245/F245,0)</x:f>
        <x:v>8.849056603773585</x:v>
      </x:c>
      <x:c r="H245" t="str">
        <x:f>TEXT(D245,"mmm")</x:f>
        <x:v>Jan</x:v>
      </x:c>
      <x:c r="I245" s="22" t="n">
        <x:f>MONTH(D245)</x:f>
        <x:v>1</x:v>
      </x:c>
      <x:c r="J245" s="22" t="n">
        <x:f>YEAR(D245)</x:f>
        <x:v>2022</x:v>
      </x:c>
      <x:c r="K245" t="str">
        <x:f>IF(F245&gt;200,"Large Order","Standard Order")</x:f>
        <x:v>Large Order</x:v>
      </x:c>
    </x:row>
    <x:row r="246">
      <x:c r="A246" t="str">
        <x:v>Kaine Padly</x:v>
      </x:c>
      <x:c r="B246" t="str">
        <x:v>New Zealand</x:v>
      </x:c>
      <x:c r="C246" t="str">
        <x:v>Spicy Special Slims</x:v>
      </x:c>
      <x:c r="D246" s="14" t="n">
        <x:v>44743</x:v>
      </x:c>
      <x:c r="E246" s="16" t="n">
        <x:v>7728</x:v>
      </x:c>
      <x:c r="F246" s="18" t="n">
        <x:v>37</x:v>
      </x:c>
      <x:c r="G246" s="20" t="n">
        <x:f>IFERROR(E246/F246,0)</x:f>
        <x:v>208.86486486486487</x:v>
      </x:c>
      <x:c r="H246" t="str">
        <x:f>TEXT(D246,"mmm")</x:f>
        <x:v>Jul</x:v>
      </x:c>
      <x:c r="I246" s="22" t="n">
        <x:f>MONTH(D246)</x:f>
        <x:v>7</x:v>
      </x:c>
      <x:c r="J246" s="22" t="n">
        <x:f>YEAR(D246)</x:f>
        <x:v>2022</x:v>
      </x:c>
      <x:c r="K246" t="str">
        <x:f>IF(F246&gt;200,"Large Order","Standard Order")</x:f>
        <x:v>Standard Order</x:v>
      </x:c>
    </x:row>
    <x:row r="247">
      <x:c r="A247" t="str">
        <x:v>Gigi Bohling</x:v>
      </x:c>
      <x:c r="B247" t="str">
        <x:v>USA</x:v>
      </x:c>
      <x:c r="C247" t="str">
        <x:v>50% Dark Bites</x:v>
      </x:c>
      <x:c r="D247" s="14" t="n">
        <x:v>44664</x:v>
      </x:c>
      <x:c r="E247" s="16" t="n">
        <x:v>2296</x:v>
      </x:c>
      <x:c r="F247" s="18" t="n">
        <x:v>59</x:v>
      </x:c>
      <x:c r="G247" s="20" t="n">
        <x:f>IFERROR(E247/F247,0)</x:f>
        <x:v>38.91525423728814</x:v>
      </x:c>
      <x:c r="H247" t="str">
        <x:f>TEXT(D247,"mmm")</x:f>
        <x:v>Apr</x:v>
      </x:c>
      <x:c r="I247" s="22" t="n">
        <x:f>MONTH(D247)</x:f>
        <x:v>4</x:v>
      </x:c>
      <x:c r="J247" s="22" t="n">
        <x:f>YEAR(D247)</x:f>
        <x:v>2022</x:v>
      </x:c>
      <x:c r="K247" t="str">
        <x:f>IF(F247&gt;200,"Large Order","Standard Order")</x:f>
        <x:v>Standard Order</x:v>
      </x:c>
    </x:row>
    <x:row r="248">
      <x:c r="A248" t="str">
        <x:v>Beverie Moffet</x:v>
      </x:c>
      <x:c r="B248" t="str">
        <x:v>UK</x:v>
      </x:c>
      <x:c r="C248" t="str">
        <x:v>Smooth Silky Salty</x:v>
      </x:c>
      <x:c r="D248" s="14" t="n">
        <x:v>44685</x:v>
      </x:c>
      <x:c r="E248" s="16" t="n">
        <x:v>4403</x:v>
      </x:c>
      <x:c r="F248" s="18" t="n">
        <x:v>76</x:v>
      </x:c>
      <x:c r="G248" s="20" t="n">
        <x:f>IFERROR(E248/F248,0)</x:f>
        <x:v>57.93421052631579</x:v>
      </x:c>
      <x:c r="H248" t="str">
        <x:f>TEXT(D248,"mmm")</x:f>
        <x:v>May</x:v>
      </x:c>
      <x:c r="I248" s="22" t="n">
        <x:f>MONTH(D248)</x:f>
        <x:v>5</x:v>
      </x:c>
      <x:c r="J248" s="22" t="n">
        <x:f>YEAR(D248)</x:f>
        <x:v>2022</x:v>
      </x:c>
      <x:c r="K248" t="str">
        <x:f>IF(F248&gt;200,"Large Order","Standard Order")</x:f>
        <x:v>Standard Order</x:v>
      </x:c>
    </x:row>
    <x:row r="249">
      <x:c r="A249" t="str">
        <x:v>Beverie Moffet</x:v>
      </x:c>
      <x:c r="B249" t="str">
        <x:v>Australia</x:v>
      </x:c>
      <x:c r="C249" t="str">
        <x:v>Baker's Choco Chips</x:v>
      </x:c>
      <x:c r="D249" s="14" t="n">
        <x:v>44777</x:v>
      </x:c>
      <x:c r="E249" s="16" t="n">
        <x:v>3192</x:v>
      </x:c>
      <x:c r="F249" s="18" t="n">
        <x:v>109</x:v>
      </x:c>
      <x:c r="G249" s="20" t="n">
        <x:f>IFERROR(E249/F249,0)</x:f>
        <x:v>29.28440366972477</x:v>
      </x:c>
      <x:c r="H249" t="str">
        <x:f>TEXT(D249,"mmm")</x:f>
        <x:v>Aug</x:v>
      </x:c>
      <x:c r="I249" s="22" t="n">
        <x:f>MONTH(D249)</x:f>
        <x:v>8</x:v>
      </x:c>
      <x:c r="J249" s="22" t="n">
        <x:f>YEAR(D249)</x:f>
        <x:v>2022</x:v>
      </x:c>
      <x:c r="K249" t="str">
        <x:f>IF(F249&gt;200,"Large Order","Standard Order")</x:f>
        <x:v>Standard Order</x:v>
      </x:c>
    </x:row>
    <x:row r="250">
      <x:c r="A250" t="str">
        <x:v>Beverie Moffet</x:v>
      </x:c>
      <x:c r="B250" t="str">
        <x:v>India</x:v>
      </x:c>
      <x:c r="C250" t="str">
        <x:v>70% Dark Bites</x:v>
      </x:c>
      <x:c r="D250" s="14" t="n">
        <x:v>44713</x:v>
      </x:c>
      <x:c r="E250" s="16" t="n">
        <x:v>448</x:v>
      </x:c>
      <x:c r="F250" s="18" t="n">
        <x:v>146</x:v>
      </x:c>
      <x:c r="G250" s="20" t="n">
        <x:f>IFERROR(E250/F250,0)</x:f>
        <x:v>3.0684931506849313</x:v>
      </x:c>
      <x:c r="H250" t="str">
        <x:f>TEXT(D250,"mmm")</x:f>
        <x:v>Jun</x:v>
      </x:c>
      <x:c r="I250" s="22" t="n">
        <x:f>MONTH(D250)</x:f>
        <x:v>6</x:v>
      </x:c>
      <x:c r="J250" s="22" t="n">
        <x:f>YEAR(D250)</x:f>
        <x:v>2022</x:v>
      </x:c>
      <x:c r="K250" t="str">
        <x:f>IF(F250&gt;200,"Large Order","Standard Order")</x:f>
        <x:v>Standard Order</x:v>
      </x:c>
    </x:row>
    <x:row r="251">
      <x:c r="A251" t="str">
        <x:v>Jehu Rudeforth</x:v>
      </x:c>
      <x:c r="B251" t="str">
        <x:v>UK</x:v>
      </x:c>
      <x:c r="C251" t="str">
        <x:v>Choco Coated Almonds</x:v>
      </x:c>
      <x:c r="D251" s="14" t="n">
        <x:v>44673</x:v>
      </x:c>
      <x:c r="E251" s="16" t="n">
        <x:v>4270</x:v>
      </x:c>
      <x:c r="F251" s="18" t="n">
        <x:v>185</x:v>
      </x:c>
      <x:c r="G251" s="20" t="n">
        <x:f>IFERROR(E251/F251,0)</x:f>
        <x:v>23.08108108108108</x:v>
      </x:c>
      <x:c r="H251" t="str">
        <x:f>TEXT(D251,"mmm")</x:f>
        <x:v>Apr</x:v>
      </x:c>
      <x:c r="I251" s="22" t="n">
        <x:f>MONTH(D251)</x:f>
        <x:v>4</x:v>
      </x:c>
      <x:c r="J251" s="22" t="n">
        <x:f>YEAR(D251)</x:f>
        <x:v>2022</x:v>
      </x:c>
      <x:c r="K251" t="str">
        <x:f>IF(F251&gt;200,"Large Order","Standard Order")</x:f>
        <x:v>Standard Order</x:v>
      </x:c>
    </x:row>
    <x:row r="252">
      <x:c r="A252" t="str">
        <x:v>Kaine Padly</x:v>
      </x:c>
      <x:c r="B252" t="str">
        <x:v>USA</x:v>
      </x:c>
      <x:c r="C252" t="str">
        <x:v>50% Dark Bites</x:v>
      </x:c>
      <x:c r="D252" s="14" t="n">
        <x:v>44776</x:v>
      </x:c>
      <x:c r="E252" s="16" t="n">
        <x:v>70</x:v>
      </x:c>
      <x:c r="F252" s="18" t="n">
        <x:v>27</x:v>
      </x:c>
      <x:c r="G252" s="20" t="n">
        <x:f>IFERROR(E252/F252,0)</x:f>
        <x:v>2.5925925925925926</x:v>
      </x:c>
      <x:c r="H252" t="str">
        <x:f>TEXT(D252,"mmm")</x:f>
        <x:v>Aug</x:v>
      </x:c>
      <x:c r="I252" s="22" t="n">
        <x:f>MONTH(D252)</x:f>
        <x:v>8</x:v>
      </x:c>
      <x:c r="J252" s="22" t="n">
        <x:f>YEAR(D252)</x:f>
        <x:v>2022</x:v>
      </x:c>
      <x:c r="K252" t="str">
        <x:f>IF(F252&gt;200,"Large Order","Standard Order")</x:f>
        <x:v>Standard Order</x:v>
      </x:c>
    </x:row>
    <x:row r="253">
      <x:c r="A253" t="str">
        <x:v>Ches Bonnell</x:v>
      </x:c>
      <x:c r="B253" t="str">
        <x:v>USA</x:v>
      </x:c>
      <x:c r="C253" t="str">
        <x:v>Orange Choco</x:v>
      </x:c>
      <x:c r="D253" s="14" t="n">
        <x:v>44722</x:v>
      </x:c>
      <x:c r="E253" s="16" t="n">
        <x:v>1743</x:v>
      </x:c>
      <x:c r="F253" s="18" t="n">
        <x:v>69</x:v>
      </x:c>
      <x:c r="G253" s="20" t="n">
        <x:f>IFERROR(E253/F253,0)</x:f>
        <x:v>25.26086956521739</x:v>
      </x:c>
      <x:c r="H253" t="str">
        <x:f>TEXT(D253,"mmm")</x:f>
        <x:v>Jun</x:v>
      </x:c>
      <x:c r="I253" s="22" t="n">
        <x:f>MONTH(D253)</x:f>
        <x:v>6</x:v>
      </x:c>
      <x:c r="J253" s="22" t="n">
        <x:f>YEAR(D253)</x:f>
        <x:v>2022</x:v>
      </x:c>
      <x:c r="K253" t="str">
        <x:f>IF(F253&gt;200,"Large Order","Standard Order")</x:f>
        <x:v>Standard Order</x:v>
      </x:c>
    </x:row>
    <x:row r="254">
      <x:c r="A254" t="str">
        <x:v>Gunar Cockshoot</x:v>
      </x:c>
      <x:c r="B254" t="str">
        <x:v>UK</x:v>
      </x:c>
      <x:c r="C254" t="str">
        <x:v>Manuka Honey Choco</x:v>
      </x:c>
      <x:c r="D254" s="14" t="n">
        <x:v>44739</x:v>
      </x:c>
      <x:c r="E254" s="16" t="n">
        <x:v>6762</x:v>
      </x:c>
      <x:c r="F254" s="18" t="n">
        <x:v>46</x:v>
      </x:c>
      <x:c r="G254" s="20" t="n">
        <x:f>IFERROR(E254/F254,0)</x:f>
        <x:v>147</x:v>
      </x:c>
      <x:c r="H254" t="str">
        <x:f>TEXT(D254,"mmm")</x:f>
        <x:v>Jun</x:v>
      </x:c>
      <x:c r="I254" s="22" t="n">
        <x:f>MONTH(D254)</x:f>
        <x:v>6</x:v>
      </x:c>
      <x:c r="J254" s="22" t="n">
        <x:f>YEAR(D254)</x:f>
        <x:v>2022</x:v>
      </x:c>
      <x:c r="K254" t="str">
        <x:f>IF(F254&gt;200,"Large Order","Standard Order")</x:f>
        <x:v>Standard Order</x:v>
      </x:c>
    </x:row>
    <x:row r="255">
      <x:c r="A255" t="str">
        <x:v>Marney O'Breen</x:v>
      </x:c>
      <x:c r="B255" t="str">
        <x:v>Australia</x:v>
      </x:c>
      <x:c r="C255" t="str">
        <x:v>Smooth Silky Salty</x:v>
      </x:c>
      <x:c r="D255" s="14" t="n">
        <x:v>44564</x:v>
      </x:c>
      <x:c r="E255" s="16" t="n">
        <x:v>3745</x:v>
      </x:c>
      <x:c r="F255" s="18" t="n">
        <x:v>170</x:v>
      </x:c>
      <x:c r="G255" s="20" t="n">
        <x:f>IFERROR(E255/F255,0)</x:f>
        <x:v>22.029411764705884</x:v>
      </x:c>
      <x:c r="H255" t="str">
        <x:f>TEXT(D255,"mmm")</x:f>
        <x:v>Jan</x:v>
      </x:c>
      <x:c r="I255" s="22" t="n">
        <x:f>MONTH(D255)</x:f>
        <x:v>1</x:v>
      </x:c>
      <x:c r="J255" s="22" t="n">
        <x:f>YEAR(D255)</x:f>
        <x:v>2022</x:v>
      </x:c>
      <x:c r="K255" t="str">
        <x:f>IF(F255&gt;200,"Large Order","Standard Order")</x:f>
        <x:v>Standard Order</x:v>
      </x:c>
    </x:row>
    <x:row r="256">
      <x:c r="A256" t="str">
        <x:v>Marney O'Breen</x:v>
      </x:c>
      <x:c r="B256" t="str">
        <x:v>India</x:v>
      </x:c>
      <x:c r="C256" t="str">
        <x:v>After Nines</x:v>
      </x:c>
      <x:c r="D256" s="14" t="n">
        <x:v>44753</x:v>
      </x:c>
      <x:c r="E256" s="16" t="n">
        <x:v>2639</x:v>
      </x:c>
      <x:c r="F256" s="18" t="n">
        <x:v>179</x:v>
      </x:c>
      <x:c r="G256" s="20" t="n">
        <x:f>IFERROR(E256/F256,0)</x:f>
        <x:v>14.743016759776536</x:v>
      </x:c>
      <x:c r="H256" t="str">
        <x:f>TEXT(D256,"mmm")</x:f>
        <x:v>Jul</x:v>
      </x:c>
      <x:c r="I256" s="22" t="n">
        <x:f>MONTH(D256)</x:f>
        <x:v>7</x:v>
      </x:c>
      <x:c r="J256" s="22" t="n">
        <x:f>YEAR(D256)</x:f>
        <x:v>2022</x:v>
      </x:c>
      <x:c r="K256" t="str">
        <x:f>IF(F256&gt;200,"Large Order","Standard Order")</x:f>
        <x:v>Standard Order</x:v>
      </x:c>
    </x:row>
    <x:row r="257">
      <x:c r="A257" t="str">
        <x:v>Ches Bonnell</x:v>
      </x:c>
      <x:c r="B257" t="str">
        <x:v>New Zealand</x:v>
      </x:c>
      <x:c r="C257" t="str">
        <x:v>Milk Bars</x:v>
      </x:c>
      <x:c r="D257" s="14" t="n">
        <x:v>44790</x:v>
      </x:c>
      <x:c r="E257" s="16" t="n">
        <x:v>4389</x:v>
      </x:c>
      <x:c r="F257" s="18" t="n">
        <x:v>126</x:v>
      </x:c>
      <x:c r="G257" s="20" t="n">
        <x:f>IFERROR(E257/F257,0)</x:f>
        <x:v>34.833333333333336</x:v>
      </x:c>
      <x:c r="H257" t="str">
        <x:f>TEXT(D257,"mmm")</x:f>
        <x:v>Aug</x:v>
      </x:c>
      <x:c r="I257" s="22" t="n">
        <x:f>MONTH(D257)</x:f>
        <x:v>8</x:v>
      </x:c>
      <x:c r="J257" s="22" t="n">
        <x:f>YEAR(D257)</x:f>
        <x:v>2022</x:v>
      </x:c>
      <x:c r="K257" t="str">
        <x:f>IF(F257&gt;200,"Large Order","Standard Order")</x:f>
        <x:v>Standard Order</x:v>
      </x:c>
    </x:row>
    <x:row r="258">
      <x:c r="A258" t="str">
        <x:v>Rafaelita Blaksland</x:v>
      </x:c>
      <x:c r="B258" t="str">
        <x:v>USA</x:v>
      </x:c>
      <x:c r="C258" t="str">
        <x:v>Fruit &amp; Nut Bars</x:v>
      </x:c>
      <x:c r="D258" s="14" t="n">
        <x:v>44579</x:v>
      </x:c>
      <x:c r="E258" s="16" t="n">
        <x:v>2604</x:v>
      </x:c>
      <x:c r="F258" s="18" t="n">
        <x:v>65</x:v>
      </x:c>
      <x:c r="G258" s="20" t="n">
        <x:f>IFERROR(E258/F258,0)</x:f>
        <x:v>40.06153846153846</x:v>
      </x:c>
      <x:c r="H258" t="str">
        <x:f>TEXT(D258,"mmm")</x:f>
        <x:v>Jan</x:v>
      </x:c>
      <x:c r="I258" s="22" t="n">
        <x:f>MONTH(D258)</x:f>
        <x:v>1</x:v>
      </x:c>
      <x:c r="J258" s="22" t="n">
        <x:f>YEAR(D258)</x:f>
        <x:v>2022</x:v>
      </x:c>
      <x:c r="K258" t="str">
        <x:f>IF(F258&gt;200,"Large Order","Standard Order")</x:f>
        <x:v>Standard Order</x:v>
      </x:c>
    </x:row>
    <x:row r="259">
      <x:c r="A259" t="str">
        <x:v>Ches Bonnell</x:v>
      </x:c>
      <x:c r="B259" t="str">
        <x:v>India</x:v>
      </x:c>
      <x:c r="C259" t="str">
        <x:v>Organic Choco Syrup</x:v>
      </x:c>
      <x:c r="D259" s="14" t="n">
        <x:v>44628</x:v>
      </x:c>
      <x:c r="E259" s="16" t="n">
        <x:v>16569</x:v>
      </x:c>
      <x:c r="F259" s="18" t="n">
        <x:v>99</x:v>
      </x:c>
      <x:c r="G259" s="20" t="n">
        <x:f>IFERROR(E259/F259,0)</x:f>
        <x:v>167.36363636363637</x:v>
      </x:c>
      <x:c r="H259" t="str">
        <x:f>TEXT(D259,"mmm")</x:f>
        <x:v>Mar</x:v>
      </x:c>
      <x:c r="I259" s="22" t="n">
        <x:f>MONTH(D259)</x:f>
        <x:v>3</x:v>
      </x:c>
      <x:c r="J259" s="22" t="n">
        <x:f>YEAR(D259)</x:f>
        <x:v>2022</x:v>
      </x:c>
      <x:c r="K259" t="str">
        <x:f>IF(F259&gt;200,"Large Order","Standard Order")</x:f>
        <x:v>Standard Order</x:v>
      </x:c>
    </x:row>
    <x:row r="260">
      <x:c r="A260" t="str">
        <x:v>Mallorie Waber</x:v>
      </x:c>
      <x:c r="B260" t="str">
        <x:v>Australia</x:v>
      </x:c>
      <x:c r="C260" t="str">
        <x:v>Orange Choco</x:v>
      </x:c>
      <x:c r="D260" s="14" t="n">
        <x:v>44627</x:v>
      </x:c>
      <x:c r="E260" s="16" t="n">
        <x:v>14658</x:v>
      </x:c>
      <x:c r="F260" s="18" t="n">
        <x:v>275</x:v>
      </x:c>
      <x:c r="G260" s="20" t="n">
        <x:f>IFERROR(E260/F260,0)</x:f>
        <x:v>53.301818181818184</x:v>
      </x:c>
      <x:c r="H260" t="str">
        <x:f>TEXT(D260,"mmm")</x:f>
        <x:v>Mar</x:v>
      </x:c>
      <x:c r="I260" s="22" t="n">
        <x:f>MONTH(D260)</x:f>
        <x:v>3</x:v>
      </x:c>
      <x:c r="J260" s="22" t="n">
        <x:f>YEAR(D260)</x:f>
        <x:v>2022</x:v>
      </x:c>
      <x:c r="K260" t="str">
        <x:f>IF(F260&gt;200,"Large Order","Standard Order")</x:f>
        <x:v>Large Order</x:v>
      </x:c>
    </x:row>
    <x:row r="261">
      <x:c r="A261" t="str">
        <x:v>Husein Augar</x:v>
      </x:c>
      <x:c r="B261" t="str">
        <x:v>India</x:v>
      </x:c>
      <x:c r="C261" t="str">
        <x:v>70% Dark Bites</x:v>
      </x:c>
      <x:c r="D261" s="14" t="n">
        <x:v>44690</x:v>
      </x:c>
      <x:c r="E261" s="16" t="n">
        <x:v>6454</x:v>
      </x:c>
      <x:c r="F261" s="18" t="n">
        <x:v>157</x:v>
      </x:c>
      <x:c r="G261" s="20" t="n">
        <x:f>IFERROR(E261/F261,0)</x:f>
        <x:v>41.10828025477707</x:v>
      </x:c>
      <x:c r="H261" t="str">
        <x:f>TEXT(D261,"mmm")</x:f>
        <x:v>May</x:v>
      </x:c>
      <x:c r="I261" s="22" t="n">
        <x:f>MONTH(D261)</x:f>
        <x:v>5</x:v>
      </x:c>
      <x:c r="J261" s="22" t="n">
        <x:f>YEAR(D261)</x:f>
        <x:v>2022</x:v>
      </x:c>
      <x:c r="K261" t="str">
        <x:f>IF(F261&gt;200,"Large Order","Standard Order")</x:f>
        <x:v>Standard Order</x:v>
      </x:c>
    </x:row>
    <x:row r="262">
      <x:c r="A262" t="str">
        <x:v>Barr Faughny</x:v>
      </x:c>
      <x:c r="B262" t="str">
        <x:v>New Zealand</x:v>
      </x:c>
      <x:c r="C262" t="str">
        <x:v>85% Dark Bars</x:v>
      </x:c>
      <x:c r="D262" s="14" t="n">
        <x:v>44704</x:v>
      </x:c>
      <x:c r="E262" s="16" t="n">
        <x:v>2100</x:v>
      </x:c>
      <x:c r="F262" s="18" t="n">
        <x:v>157</x:v>
      </x:c>
      <x:c r="G262" s="20" t="n">
        <x:f>IFERROR(E262/F262,0)</x:f>
        <x:v>13.375796178343949</x:v>
      </x:c>
      <x:c r="H262" t="str">
        <x:f>TEXT(D262,"mmm")</x:f>
        <x:v>May</x:v>
      </x:c>
      <x:c r="I262" s="22" t="n">
        <x:f>MONTH(D262)</x:f>
        <x:v>5</x:v>
      </x:c>
      <x:c r="J262" s="22" t="n">
        <x:f>YEAR(D262)</x:f>
        <x:v>2022</x:v>
      </x:c>
      <x:c r="K262" t="str">
        <x:f>IF(F262&gt;200,"Large Order","Standard Order")</x:f>
        <x:v>Standard Order</x:v>
      </x:c>
    </x:row>
    <x:row r="263">
      <x:c r="A263" t="str">
        <x:v>Madelene Upcott</x:v>
      </x:c>
      <x:c r="B263" t="str">
        <x:v>UK</x:v>
      </x:c>
      <x:c r="C263" t="str">
        <x:v>Caramel Stuffed Bars</x:v>
      </x:c>
      <x:c r="D263" s="14" t="n">
        <x:v>44666</x:v>
      </x:c>
      <x:c r="E263" s="16" t="n">
        <x:v>161</x:v>
      </x:c>
      <x:c r="F263" s="18" t="n">
        <x:v>145</x:v>
      </x:c>
      <x:c r="G263" s="20" t="n">
        <x:f>IFERROR(E263/F263,0)</x:f>
        <x:v>1.110344827586207</x:v>
      </x:c>
      <x:c r="H263" t="str">
        <x:f>TEXT(D263,"mmm")</x:f>
        <x:v>Apr</x:v>
      </x:c>
      <x:c r="I263" s="22" t="n">
        <x:f>MONTH(D263)</x:f>
        <x:v>4</x:v>
      </x:c>
      <x:c r="J263" s="22" t="n">
        <x:f>YEAR(D263)</x:f>
        <x:v>2022</x:v>
      </x:c>
      <x:c r="K263" t="str">
        <x:f>IF(F263&gt;200,"Large Order","Standard Order")</x:f>
        <x:v>Standard Order</x:v>
      </x:c>
    </x:row>
    <x:row r="264">
      <x:c r="A264" t="str">
        <x:v>Gigi Bohling</x:v>
      </x:c>
      <x:c r="B264" t="str">
        <x:v>Australia</x:v>
      </x:c>
      <x:c r="C264" t="str">
        <x:v>Drinking Coco</x:v>
      </x:c>
      <x:c r="D264" s="14" t="n">
        <x:v>44769</x:v>
      </x:c>
      <x:c r="E264" s="16" t="n">
        <x:v>2807</x:v>
      </x:c>
      <x:c r="F264" s="18" t="n">
        <x:v>139</x:v>
      </x:c>
      <x:c r="G264" s="20" t="n">
        <x:f>IFERROR(E264/F264,0)</x:f>
        <x:v>20.194244604316548</x:v>
      </x:c>
      <x:c r="H264" t="str">
        <x:f>TEXT(D264,"mmm")</x:f>
        <x:v>Jul</x:v>
      </x:c>
      <x:c r="I264" s="22" t="n">
        <x:f>MONTH(D264)</x:f>
        <x:v>7</x:v>
      </x:c>
      <x:c r="J264" s="22" t="n">
        <x:f>YEAR(D264)</x:f>
        <x:v>2022</x:v>
      </x:c>
      <x:c r="K264" t="str">
        <x:f>IF(F264&gt;200,"Large Order","Standard Order")</x:f>
        <x:v>Standard Order</x:v>
      </x:c>
    </x:row>
    <x:row r="265">
      <x:c r="A265" t="str">
        <x:v>Marney O'Breen</x:v>
      </x:c>
      <x:c r="B265" t="str">
        <x:v>Canada</x:v>
      </x:c>
      <x:c r="C265" t="str">
        <x:v>Choco Coated Almonds</x:v>
      </x:c>
      <x:c r="D265" s="14" t="n">
        <x:v>44795</x:v>
      </x:c>
      <x:c r="E265" s="16" t="n">
        <x:v>2639</x:v>
      </x:c>
      <x:c r="F265" s="18" t="n">
        <x:v>406</x:v>
      </x:c>
      <x:c r="G265" s="20" t="n">
        <x:f>IFERROR(E265/F265,0)</x:f>
        <x:v>6.5</x:v>
      </x:c>
      <x:c r="H265" t="str">
        <x:f>TEXT(D265,"mmm")</x:f>
        <x:v>Aug</x:v>
      </x:c>
      <x:c r="I265" s="22" t="n">
        <x:f>MONTH(D265)</x:f>
        <x:v>8</x:v>
      </x:c>
      <x:c r="J265" s="22" t="n">
        <x:f>YEAR(D265)</x:f>
        <x:v>2022</x:v>
      </x:c>
      <x:c r="K265" t="str">
        <x:f>IF(F265&gt;200,"Large Order","Standard Order")</x:f>
        <x:v>Large Order</x:v>
      </x:c>
    </x:row>
    <x:row r="266">
      <x:c r="A266" t="str">
        <x:v>Ches Bonnell</x:v>
      </x:c>
      <x:c r="B266" t="str">
        <x:v>USA</x:v>
      </x:c>
      <x:c r="C266" t="str">
        <x:v>70% Dark Bites</x:v>
      </x:c>
      <x:c r="D266" s="14" t="n">
        <x:v>44692</x:v>
      </x:c>
      <x:c r="E266" s="16" t="n">
        <x:v>4571</x:v>
      </x:c>
      <x:c r="F266" s="18" t="n">
        <x:v>122</x:v>
      </x:c>
      <x:c r="G266" s="20" t="n">
        <x:f>IFERROR(E266/F266,0)</x:f>
        <x:v>37.467213114754095</x:v>
      </x:c>
      <x:c r="H266" t="str">
        <x:f>TEXT(D266,"mmm")</x:f>
        <x:v>May</x:v>
      </x:c>
      <x:c r="I266" s="22" t="n">
        <x:f>MONTH(D266)</x:f>
        <x:v>5</x:v>
      </x:c>
      <x:c r="J266" s="22" t="n">
        <x:f>YEAR(D266)</x:f>
        <x:v>2022</x:v>
      </x:c>
      <x:c r="K266" t="str">
        <x:f>IF(F266&gt;200,"Large Order","Standard Order")</x:f>
        <x:v>Standard Order</x:v>
      </x:c>
    </x:row>
    <x:row r="267">
      <x:c r="A267" t="str">
        <x:v>Madelene Upcott</x:v>
      </x:c>
      <x:c r="B267" t="str">
        <x:v>India</x:v>
      </x:c>
      <x:c r="C267" t="str">
        <x:v>Organic Choco Syrup</x:v>
      </x:c>
      <x:c r="D267" s="14" t="n">
        <x:v>44587</x:v>
      </x:c>
      <x:c r="E267" s="16" t="n">
        <x:v>4781</x:v>
      </x:c>
      <x:c r="F267" s="18" t="n">
        <x:v>38</x:v>
      </x:c>
      <x:c r="G267" s="20" t="n">
        <x:f>IFERROR(E267/F267,0)</x:f>
        <x:v>125.8157894736842</x:v>
      </x:c>
      <x:c r="H267" t="str">
        <x:f>TEXT(D267,"mmm")</x:f>
        <x:v>Jan</x:v>
      </x:c>
      <x:c r="I267" s="22" t="n">
        <x:f>MONTH(D267)</x:f>
        <x:v>1</x:v>
      </x:c>
      <x:c r="J267" s="22" t="n">
        <x:f>YEAR(D267)</x:f>
        <x:v>2022</x:v>
      </x:c>
      <x:c r="K267" t="str">
        <x:f>IF(F267&gt;200,"Large Order","Standard Order")</x:f>
        <x:v>Standard Order</x:v>
      </x:c>
    </x:row>
    <x:row r="268">
      <x:c r="A268" t="str">
        <x:v>Barr Faughny</x:v>
      </x:c>
      <x:c r="B268" t="str">
        <x:v>USA</x:v>
      </x:c>
      <x:c r="C268" t="str">
        <x:v>50% Dark Bites</x:v>
      </x:c>
      <x:c r="D268" s="14" t="n">
        <x:v>44665</x:v>
      </x:c>
      <x:c r="E268" s="16" t="n">
        <x:v>13034</x:v>
      </x:c>
      <x:c r="F268" s="18" t="n">
        <x:v>117</x:v>
      </x:c>
      <x:c r="G268" s="20" t="n">
        <x:f>IFERROR(E268/F268,0)</x:f>
        <x:v>111.4017094017094</x:v>
      </x:c>
      <x:c r="H268" t="str">
        <x:f>TEXT(D268,"mmm")</x:f>
        <x:v>Apr</x:v>
      </x:c>
      <x:c r="I268" s="22" t="n">
        <x:f>MONTH(D268)</x:f>
        <x:v>4</x:v>
      </x:c>
      <x:c r="J268" s="22" t="n">
        <x:f>YEAR(D268)</x:f>
        <x:v>2022</x:v>
      </x:c>
      <x:c r="K268" t="str">
        <x:f>IF(F268&gt;200,"Large Order","Standard Order")</x:f>
        <x:v>Standard Order</x:v>
      </x:c>
    </x:row>
    <x:row r="269">
      <x:c r="A269" t="str">
        <x:v>Dennison Crosswaite</x:v>
      </x:c>
      <x:c r="B269" t="str">
        <x:v>New Zealand</x:v>
      </x:c>
      <x:c r="C269" t="str">
        <x:v>Mint Chip Choco</x:v>
      </x:c>
      <x:c r="D269" s="14" t="n">
        <x:v>44656</x:v>
      </x:c>
      <x:c r="E269" s="16" t="n">
        <x:v>6454</x:v>
      </x:c>
      <x:c r="F269" s="18" t="n">
        <x:v>417</x:v>
      </x:c>
      <x:c r="G269" s="20" t="n">
        <x:f>IFERROR(E269/F269,0)</x:f>
        <x:v>15.477218225419664</x:v>
      </x:c>
      <x:c r="H269" t="str">
        <x:f>TEXT(D269,"mmm")</x:f>
        <x:v>Apr</x:v>
      </x:c>
      <x:c r="I269" s="22" t="n">
        <x:f>MONTH(D269)</x:f>
        <x:v>4</x:v>
      </x:c>
      <x:c r="J269" s="22" t="n">
        <x:f>YEAR(D269)</x:f>
        <x:v>2022</x:v>
      </x:c>
      <x:c r="K269" t="str">
        <x:f>IF(F269&gt;200,"Large Order","Standard Order")</x:f>
        <x:v>Large Order</x:v>
      </x:c>
    </x:row>
    <x:row r="270">
      <x:c r="A270" t="str">
        <x:v>Marney O'Breen</x:v>
      </x:c>
      <x:c r="B270" t="str">
        <x:v>New Zealand</x:v>
      </x:c>
      <x:c r="C270" t="str">
        <x:v>Smooth Silky Salty</x:v>
      </x:c>
      <x:c r="D270" s="14" t="n">
        <x:v>44726</x:v>
      </x:c>
      <x:c r="E270" s="16" t="n">
        <x:v>8484</x:v>
      </x:c>
      <x:c r="F270" s="18" t="n">
        <x:v>57</x:v>
      </x:c>
      <x:c r="G270" s="20" t="n">
        <x:f>IFERROR(E270/F270,0)</x:f>
        <x:v>148.8421052631579</x:v>
      </x:c>
      <x:c r="H270" t="str">
        <x:f>TEXT(D270,"mmm")</x:f>
        <x:v>Jun</x:v>
      </x:c>
      <x:c r="I270" s="22" t="n">
        <x:f>MONTH(D270)</x:f>
        <x:v>6</x:v>
      </x:c>
      <x:c r="J270" s="22" t="n">
        <x:f>YEAR(D270)</x:f>
        <x:v>2022</x:v>
      </x:c>
      <x:c r="K270" t="str">
        <x:f>IF(F270&gt;200,"Large Order","Standard Order")</x:f>
        <x:v>Standard Order</x:v>
      </x:c>
    </x:row>
    <x:row r="271">
      <x:c r="A271" t="str">
        <x:v>Brien Boise</x:v>
      </x:c>
      <x:c r="B271" t="str">
        <x:v>Canada</x:v>
      </x:c>
      <x:c r="C271" t="str">
        <x:v>Almond Choco</x:v>
      </x:c>
      <x:c r="D271" s="14" t="n">
        <x:v>44664</x:v>
      </x:c>
      <x:c r="E271" s="16" t="n">
        <x:v>4781</x:v>
      </x:c>
      <x:c r="F271" s="18" t="n">
        <x:v>125</x:v>
      </x:c>
      <x:c r="G271" s="20" t="n">
        <x:f>IFERROR(E271/F271,0)</x:f>
        <x:v>38.248</x:v>
      </x:c>
      <x:c r="H271" t="str">
        <x:f>TEXT(D271,"mmm")</x:f>
        <x:v>Apr</x:v>
      </x:c>
      <x:c r="I271" s="22" t="n">
        <x:f>MONTH(D271)</x:f>
        <x:v>4</x:v>
      </x:c>
      <x:c r="J271" s="22" t="n">
        <x:f>YEAR(D271)</x:f>
        <x:v>2022</x:v>
      </x:c>
      <x:c r="K271" t="str">
        <x:f>IF(F271&gt;200,"Large Order","Standard Order")</x:f>
        <x:v>Standard Order</x:v>
      </x:c>
    </x:row>
    <x:row r="272">
      <x:c r="A272" t="str">
        <x:v>Beverie Moffet</x:v>
      </x:c>
      <x:c r="B272" t="str">
        <x:v>Australia</x:v>
      </x:c>
      <x:c r="C272" t="str">
        <x:v>White Choc</x:v>
      </x:c>
      <x:c r="D272" s="14" t="n">
        <x:v>44739</x:v>
      </x:c>
      <x:c r="E272" s="16" t="n">
        <x:v>2240</x:v>
      </x:c>
      <x:c r="F272" s="18" t="n">
        <x:v>166</x:v>
      </x:c>
      <x:c r="G272" s="20" t="n">
        <x:f>IFERROR(E272/F272,0)</x:f>
        <x:v>13.493975903614459</x:v>
      </x:c>
      <x:c r="H272" t="str">
        <x:f>TEXT(D272,"mmm")</x:f>
        <x:v>Jun</x:v>
      </x:c>
      <x:c r="I272" s="22" t="n">
        <x:f>MONTH(D272)</x:f>
        <x:v>6</x:v>
      </x:c>
      <x:c r="J272" s="22" t="n">
        <x:f>YEAR(D272)</x:f>
        <x:v>2022</x:v>
      </x:c>
      <x:c r="K272" t="str">
        <x:f>IF(F272&gt;200,"Large Order","Standard Order")</x:f>
        <x:v>Standard Order</x:v>
      </x:c>
    </x:row>
    <x:row r="273">
      <x:c r="A273" t="str">
        <x:v>Dotty Strutley</x:v>
      </x:c>
      <x:c r="B273" t="str">
        <x:v>Australia</x:v>
      </x:c>
      <x:c r="C273" t="str">
        <x:v>Eclairs</x:v>
      </x:c>
      <x:c r="D273" s="14" t="n">
        <x:v>44587</x:v>
      </x:c>
      <x:c r="E273" s="16" t="n">
        <x:v>6979</x:v>
      </x:c>
      <x:c r="F273" s="18" t="n">
        <x:v>3</x:v>
      </x:c>
      <x:c r="G273" s="20" t="n">
        <x:f>IFERROR(E273/F273,0)</x:f>
        <x:v>2326.3333333333335</x:v>
      </x:c>
      <x:c r="H273" t="str">
        <x:f>TEXT(D273,"mmm")</x:f>
        <x:v>Jan</x:v>
      </x:c>
      <x:c r="I273" s="22" t="n">
        <x:f>MONTH(D273)</x:f>
        <x:v>1</x:v>
      </x:c>
      <x:c r="J273" s="22" t="n">
        <x:f>YEAR(D273)</x:f>
        <x:v>2022</x:v>
      </x:c>
      <x:c r="K273" t="str">
        <x:f>IF(F273&gt;200,"Large Order","Standard Order")</x:f>
        <x:v>Standard Order</x:v>
      </x:c>
    </x:row>
    <x:row r="274">
      <x:c r="A274" t="str">
        <x:v>Barr Faughny</x:v>
      </x:c>
      <x:c r="B274" t="str">
        <x:v>UK</x:v>
      </x:c>
      <x:c r="C274" t="str">
        <x:v>White Choc</x:v>
      </x:c>
      <x:c r="D274" s="14" t="n">
        <x:v>44747</x:v>
      </x:c>
      <x:c r="E274" s="16" t="n">
        <x:v>1652</x:v>
      </x:c>
      <x:c r="F274" s="18" t="n">
        <x:v>72</x:v>
      </x:c>
      <x:c r="G274" s="20" t="n">
        <x:f>IFERROR(E274/F274,0)</x:f>
        <x:v>22.944444444444443</x:v>
      </x:c>
      <x:c r="H274" t="str">
        <x:f>TEXT(D274,"mmm")</x:f>
        <x:v>Jul</x:v>
      </x:c>
      <x:c r="I274" s="22" t="n">
        <x:f>MONTH(D274)</x:f>
        <x:v>7</x:v>
      </x:c>
      <x:c r="J274" s="22" t="n">
        <x:f>YEAR(D274)</x:f>
        <x:v>2022</x:v>
      </x:c>
      <x:c r="K274" t="str">
        <x:f>IF(F274&gt;200,"Large Order","Standard Order")</x:f>
        <x:v>Standard Order</x:v>
      </x:c>
    </x:row>
    <x:row r="275">
      <x:c r="A275" t="str">
        <x:v>Beverie Moffet</x:v>
      </x:c>
      <x:c r="B275" t="str">
        <x:v>Canada</x:v>
      </x:c>
      <x:c r="C275" t="str">
        <x:v>Baker's Choco Chips</x:v>
      </x:c>
      <x:c r="D275" s="14" t="n">
        <x:v>44572</x:v>
      </x:c>
      <x:c r="E275" s="16" t="n">
        <x:v>13447</x:v>
      </x:c>
      <x:c r="F275" s="18" t="n">
        <x:v>95</x:v>
      </x:c>
      <x:c r="G275" s="20" t="n">
        <x:f>IFERROR(E275/F275,0)</x:f>
        <x:v>141.54736842105262</x:v>
      </x:c>
      <x:c r="H275" t="str">
        <x:f>TEXT(D275,"mmm")</x:f>
        <x:v>Jan</x:v>
      </x:c>
      <x:c r="I275" s="22" t="n">
        <x:f>MONTH(D275)</x:f>
        <x:v>1</x:v>
      </x:c>
      <x:c r="J275" s="22" t="n">
        <x:f>YEAR(D275)</x:f>
        <x:v>2022</x:v>
      </x:c>
      <x:c r="K275" t="str">
        <x:f>IF(F275&gt;200,"Large Order","Standard Order")</x:f>
        <x:v>Standard Order</x:v>
      </x:c>
    </x:row>
    <x:row r="276">
      <x:c r="A276" t="str">
        <x:v>Kelci Walkden</x:v>
      </x:c>
      <x:c r="B276" t="str">
        <x:v>USA</x:v>
      </x:c>
      <x:c r="C276" t="str">
        <x:v>White Choc</x:v>
      </x:c>
      <x:c r="D276" s="14" t="n">
        <x:v>44627</x:v>
      </x:c>
      <x:c r="E276" s="16" t="n">
        <x:v>9422</x:v>
      </x:c>
      <x:c r="F276" s="18" t="n">
        <x:v>22</x:v>
      </x:c>
      <x:c r="G276" s="20" t="n">
        <x:f>IFERROR(E276/F276,0)</x:f>
        <x:v>428.27272727272725</x:v>
      </x:c>
      <x:c r="H276" t="str">
        <x:f>TEXT(D276,"mmm")</x:f>
        <x:v>Mar</x:v>
      </x:c>
      <x:c r="I276" s="22" t="n">
        <x:f>MONTH(D276)</x:f>
        <x:v>3</x:v>
      </x:c>
      <x:c r="J276" s="22" t="n">
        <x:f>YEAR(D276)</x:f>
        <x:v>2022</x:v>
      </x:c>
      <x:c r="K276" t="str">
        <x:f>IF(F276&gt;200,"Large Order","Standard Order")</x:f>
        <x:v>Standard Order</x:v>
      </x:c>
    </x:row>
    <x:row r="277">
      <x:c r="A277" t="str">
        <x:v>Kaine Padly</x:v>
      </x:c>
      <x:c r="B277" t="str">
        <x:v>Canada</x:v>
      </x:c>
      <x:c r="C277" t="str">
        <x:v>50% Dark Bites</x:v>
      </x:c>
      <x:c r="D277" s="14" t="n">
        <x:v>44624</x:v>
      </x:c>
      <x:c r="E277" s="16" t="n">
        <x:v>8687</x:v>
      </x:c>
      <x:c r="F277" s="18" t="n">
        <x:v>100</x:v>
      </x:c>
      <x:c r="G277" s="20" t="n">
        <x:f>IFERROR(E277/F277,0)</x:f>
        <x:v>86.87</x:v>
      </x:c>
      <x:c r="H277" t="str">
        <x:f>TEXT(D277,"mmm")</x:f>
        <x:v>Mar</x:v>
      </x:c>
      <x:c r="I277" s="22" t="n">
        <x:f>MONTH(D277)</x:f>
        <x:v>3</x:v>
      </x:c>
      <x:c r="J277" s="22" t="n">
        <x:f>YEAR(D277)</x:f>
        <x:v>2022</x:v>
      </x:c>
      <x:c r="K277" t="str">
        <x:f>IF(F277&gt;200,"Large Order","Standard Order")</x:f>
        <x:v>Standard Order</x:v>
      </x:c>
    </x:row>
    <x:row r="278">
      <x:c r="A278" t="str">
        <x:v>Karlen McCaffrey</x:v>
      </x:c>
      <x:c r="B278" t="str">
        <x:v>Canada</x:v>
      </x:c>
      <x:c r="C278" t="str">
        <x:v>Organic Choco Syrup</x:v>
      </x:c>
      <x:c r="D278" s="14" t="n">
        <x:v>44757</x:v>
      </x:c>
      <x:c r="E278" s="16" t="n">
        <x:v>2415</x:v>
      </x:c>
      <x:c r="F278" s="18" t="n">
        <x:v>312</x:v>
      </x:c>
      <x:c r="G278" s="20" t="n">
        <x:f>IFERROR(E278/F278,0)</x:f>
        <x:v>7.740384615384615</x:v>
      </x:c>
      <x:c r="H278" t="str">
        <x:f>TEXT(D278,"mmm")</x:f>
        <x:v>Jul</x:v>
      </x:c>
      <x:c r="I278" s="22" t="n">
        <x:f>MONTH(D278)</x:f>
        <x:v>7</x:v>
      </x:c>
      <x:c r="J278" s="22" t="n">
        <x:f>YEAR(D278)</x:f>
        <x:v>2022</x:v>
      </x:c>
      <x:c r="K278" t="str">
        <x:f>IF(F278&gt;200,"Large Order","Standard Order")</x:f>
        <x:v>Large Order</x:v>
      </x:c>
    </x:row>
    <x:row r="279">
      <x:c r="A279" t="str">
        <x:v>Kaine Padly</x:v>
      </x:c>
      <x:c r="B279" t="str">
        <x:v>UK</x:v>
      </x:c>
      <x:c r="C279" t="str">
        <x:v>Peanut Butter Cubes</x:v>
      </x:c>
      <x:c r="D279" s="14" t="n">
        <x:v>44692</x:v>
      </x:c>
      <x:c r="E279" s="16" t="n">
        <x:v>6272</x:v>
      </x:c>
      <x:c r="F279" s="18" t="n">
        <x:v>86</x:v>
      </x:c>
      <x:c r="G279" s="20" t="n">
        <x:f>IFERROR(E279/F279,0)</x:f>
        <x:v>72.93023255813954</x:v>
      </x:c>
      <x:c r="H279" t="str">
        <x:f>TEXT(D279,"mmm")</x:f>
        <x:v>May</x:v>
      </x:c>
      <x:c r="I279" s="22" t="n">
        <x:f>MONTH(D279)</x:f>
        <x:v>5</x:v>
      </x:c>
      <x:c r="J279" s="22" t="n">
        <x:f>YEAR(D279)</x:f>
        <x:v>2022</x:v>
      </x:c>
      <x:c r="K279" t="str">
        <x:f>IF(F279&gt;200,"Large Order","Standard Order")</x:f>
        <x:v>Standard Order</x:v>
      </x:c>
    </x:row>
    <x:row r="280">
      <x:c r="A280" t="str">
        <x:v>Karlen McCaffrey</x:v>
      </x:c>
      <x:c r="B280" t="str">
        <x:v>USA</x:v>
      </x:c>
      <x:c r="C280" t="str">
        <x:v>Milk Bars</x:v>
      </x:c>
      <x:c r="D280" s="14" t="n">
        <x:v>44588</x:v>
      </x:c>
      <x:c r="E280" s="16" t="n">
        <x:v>4389</x:v>
      </x:c>
      <x:c r="F280" s="18" t="n">
        <x:v>7</x:v>
      </x:c>
      <x:c r="G280" s="20" t="n">
        <x:f>IFERROR(E280/F280,0)</x:f>
        <x:v>627</x:v>
      </x:c>
      <x:c r="H280" t="str">
        <x:f>TEXT(D280,"mmm")</x:f>
        <x:v>Jan</x:v>
      </x:c>
      <x:c r="I280" s="22" t="n">
        <x:f>MONTH(D280)</x:f>
        <x:v>1</x:v>
      </x:c>
      <x:c r="J280" s="22" t="n">
        <x:f>YEAR(D280)</x:f>
        <x:v>2022</x:v>
      </x:c>
      <x:c r="K280" t="str">
        <x:f>IF(F280&gt;200,"Large Order","Standard Order")</x:f>
        <x:v>Standard Order</x:v>
      </x:c>
    </x:row>
    <x:row r="281">
      <x:c r="A281" t="str">
        <x:v>Karlen McCaffrey</x:v>
      </x:c>
      <x:c r="B281" t="str">
        <x:v>India</x:v>
      </x:c>
      <x:c r="C281" t="str">
        <x:v>Orange Choco</x:v>
      </x:c>
      <x:c r="D281" s="14" t="n">
        <x:v>44739</x:v>
      </x:c>
      <x:c r="E281" s="16" t="n">
        <x:v>3122</x:v>
      </x:c>
      <x:c r="F281" s="18" t="n">
        <x:v>149</x:v>
      </x:c>
      <x:c r="G281" s="20" t="n">
        <x:f>IFERROR(E281/F281,0)</x:f>
        <x:v>20.953020134228186</x:v>
      </x:c>
      <x:c r="H281" t="str">
        <x:f>TEXT(D281,"mmm")</x:f>
        <x:v>Jun</x:v>
      </x:c>
      <x:c r="I281" s="22" t="n">
        <x:f>MONTH(D281)</x:f>
        <x:v>6</x:v>
      </x:c>
      <x:c r="J281" s="22" t="n">
        <x:f>YEAR(D281)</x:f>
        <x:v>2022</x:v>
      </x:c>
      <x:c r="K281" t="str">
        <x:f>IF(F281&gt;200,"Large Order","Standard Order")</x:f>
        <x:v>Standard Order</x:v>
      </x:c>
    </x:row>
    <x:row r="282">
      <x:c r="A282" t="str">
        <x:v>Ches Bonnell</x:v>
      </x:c>
      <x:c r="B282" t="str">
        <x:v>India</x:v>
      </x:c>
      <x:c r="C282" t="str">
        <x:v>Smooth Silky Salty</x:v>
      </x:c>
      <x:c r="D282" s="14" t="n">
        <x:v>44776</x:v>
      </x:c>
      <x:c r="E282" s="16" t="n">
        <x:v>8043</x:v>
      </x:c>
      <x:c r="F282" s="18" t="n">
        <x:v>18</x:v>
      </x:c>
      <x:c r="G282" s="20" t="n">
        <x:f>IFERROR(E282/F282,0)</x:f>
        <x:v>446.8333333333333</x:v>
      </x:c>
      <x:c r="H282" t="str">
        <x:f>TEXT(D282,"mmm")</x:f>
        <x:v>Aug</x:v>
      </x:c>
      <x:c r="I282" s="22" t="n">
        <x:f>MONTH(D282)</x:f>
        <x:v>8</x:v>
      </x:c>
      <x:c r="J282" s="22" t="n">
        <x:f>YEAR(D282)</x:f>
        <x:v>2022</x:v>
      </x:c>
      <x:c r="K282" t="str">
        <x:f>IF(F282&gt;200,"Large Order","Standard Order")</x:f>
        <x:v>Standard Order</x:v>
      </x:c>
    </x:row>
    <x:row r="283">
      <x:c r="A283" t="str">
        <x:v>Wilone O'Kielt</x:v>
      </x:c>
      <x:c r="B283" t="str">
        <x:v>New Zealand</x:v>
      </x:c>
      <x:c r="C283" t="str">
        <x:v>Mint Chip Choco</x:v>
      </x:c>
      <x:c r="D283" s="14" t="n">
        <x:v>44792</x:v>
      </x:c>
      <x:c r="E283" s="16" t="n">
        <x:v>11662</x:v>
      </x:c>
      <x:c r="F283" s="18" t="n">
        <x:v>242</x:v>
      </x:c>
      <x:c r="G283" s="20" t="n">
        <x:f>IFERROR(E283/F283,0)</x:f>
        <x:v>48.1900826446281</x:v>
      </x:c>
      <x:c r="H283" t="str">
        <x:f>TEXT(D283,"mmm")</x:f>
        <x:v>Aug</x:v>
      </x:c>
      <x:c r="I283" s="22" t="n">
        <x:f>MONTH(D283)</x:f>
        <x:v>8</x:v>
      </x:c>
      <x:c r="J283" s="22" t="n">
        <x:f>YEAR(D283)</x:f>
        <x:v>2022</x:v>
      </x:c>
      <x:c r="K283" t="str">
        <x:f>IF(F283&gt;200,"Large Order","Standard Order")</x:f>
        <x:v>Large Order</x:v>
      </x:c>
    </x:row>
    <x:row r="284">
      <x:c r="A284" t="str">
        <x:v>Wilone O'Kielt</x:v>
      </x:c>
      <x:c r="B284" t="str">
        <x:v>Australia</x:v>
      </x:c>
      <x:c r="C284" t="str">
        <x:v>Fruit &amp; Nut Bars</x:v>
      </x:c>
      <x:c r="D284" s="14" t="n">
        <x:v>44727</x:v>
      </x:c>
      <x:c r="E284" s="16" t="n">
        <x:v>392</x:v>
      </x:c>
      <x:c r="F284" s="18" t="n">
        <x:v>102</x:v>
      </x:c>
      <x:c r="G284" s="20" t="n">
        <x:f>IFERROR(E284/F284,0)</x:f>
        <x:v>3.843137254901961</x:v>
      </x:c>
      <x:c r="H284" t="str">
        <x:f>TEXT(D284,"mmm")</x:f>
        <x:v>Jun</x:v>
      </x:c>
      <x:c r="I284" s="22" t="n">
        <x:f>MONTH(D284)</x:f>
        <x:v>6</x:v>
      </x:c>
      <x:c r="J284" s="22" t="n">
        <x:f>YEAR(D284)</x:f>
        <x:v>2022</x:v>
      </x:c>
      <x:c r="K284" t="str">
        <x:f>IF(F284&gt;200,"Large Order","Standard Order")</x:f>
        <x:v>Standard Order</x:v>
      </x:c>
    </x:row>
    <x:row r="285">
      <x:c r="A285" t="str">
        <x:v>Dennison Crosswaite</x:v>
      </x:c>
      <x:c r="B285" t="str">
        <x:v>UK</x:v>
      </x:c>
      <x:c r="C285" t="str">
        <x:v>Peanut Butter Cubes</x:v>
      </x:c>
      <x:c r="D285" s="14" t="n">
        <x:v>44599</x:v>
      </x:c>
      <x:c r="E285" s="16" t="n">
        <x:v>8925</x:v>
      </x:c>
      <x:c r="F285" s="18" t="n">
        <x:v>158</x:v>
      </x:c>
      <x:c r="G285" s="20" t="n">
        <x:f>IFERROR(E285/F285,0)</x:f>
        <x:v>56.4873417721519</x:v>
      </x:c>
      <x:c r="H285" t="str">
        <x:f>TEXT(D285,"mmm")</x:f>
        <x:v>Feb</x:v>
      </x:c>
      <x:c r="I285" s="22" t="n">
        <x:f>MONTH(D285)</x:f>
        <x:v>2</x:v>
      </x:c>
      <x:c r="J285" s="22" t="n">
        <x:f>YEAR(D285)</x:f>
        <x:v>2022</x:v>
      </x:c>
      <x:c r="K285" t="str">
        <x:f>IF(F285&gt;200,"Large Order","Standard Order")</x:f>
        <x:v>Standard Order</x:v>
      </x:c>
    </x:row>
    <x:row r="286">
      <x:c r="A286" t="str">
        <x:v>Karlen McCaffrey</x:v>
      </x:c>
      <x:c r="B286" t="str">
        <x:v>Australia</x:v>
      </x:c>
      <x:c r="C286" t="str">
        <x:v>Almond Choco</x:v>
      </x:c>
      <x:c r="D286" s="14" t="n">
        <x:v>44750</x:v>
      </x:c>
      <x:c r="E286" s="16" t="n">
        <x:v>7294</x:v>
      </x:c>
      <x:c r="F286" s="18" t="n">
        <x:v>128</x:v>
      </x:c>
      <x:c r="G286" s="20" t="n">
        <x:f>IFERROR(E286/F286,0)</x:f>
        <x:v>56.984375</x:v>
      </x:c>
      <x:c r="H286" t="str">
        <x:f>TEXT(D286,"mmm")</x:f>
        <x:v>Jul</x:v>
      </x:c>
      <x:c r="I286" s="22" t="n">
        <x:f>MONTH(D286)</x:f>
        <x:v>7</x:v>
      </x:c>
      <x:c r="J286" s="22" t="n">
        <x:f>YEAR(D286)</x:f>
        <x:v>2022</x:v>
      </x:c>
      <x:c r="K286" t="str">
        <x:f>IF(F286&gt;200,"Large Order","Standard Order")</x:f>
        <x:v>Standard Order</x:v>
      </x:c>
    </x:row>
    <x:row r="287">
      <x:c r="A287" t="str">
        <x:v>Dennison Crosswaite</x:v>
      </x:c>
      <x:c r="B287" t="str">
        <x:v>India</x:v>
      </x:c>
      <x:c r="C287" t="str">
        <x:v>Milk Bars</x:v>
      </x:c>
      <x:c r="D287" s="14" t="n">
        <x:v>44672</x:v>
      </x:c>
      <x:c r="E287" s="16" t="n">
        <x:v>1526</x:v>
      </x:c>
      <x:c r="F287" s="18" t="n">
        <x:v>96</x:v>
      </x:c>
      <x:c r="G287" s="20" t="n">
        <x:f>IFERROR(E287/F287,0)</x:f>
        <x:v>15.895833333333334</x:v>
      </x:c>
      <x:c r="H287" t="str">
        <x:f>TEXT(D287,"mmm")</x:f>
        <x:v>Apr</x:v>
      </x:c>
      <x:c r="I287" s="22" t="n">
        <x:f>MONTH(D287)</x:f>
        <x:v>4</x:v>
      </x:c>
      <x:c r="J287" s="22" t="n">
        <x:f>YEAR(D287)</x:f>
        <x:v>2022</x:v>
      </x:c>
      <x:c r="K287" t="str">
        <x:f>IF(F287&gt;200,"Large Order","Standard Order")</x:f>
        <x:v>Standard Order</x:v>
      </x:c>
    </x:row>
    <x:row r="288">
      <x:c r="A288" t="str">
        <x:v>Ches Bonnell</x:v>
      </x:c>
      <x:c r="B288" t="str">
        <x:v>UK</x:v>
      </x:c>
      <x:c r="C288" t="str">
        <x:v>Mint Chip Choco</x:v>
      </x:c>
      <x:c r="D288" s="14" t="n">
        <x:v>44659</x:v>
      </x:c>
      <x:c r="E288" s="16" t="n">
        <x:v>2688</x:v>
      </x:c>
      <x:c r="F288" s="18" t="n">
        <x:v>209</x:v>
      </x:c>
      <x:c r="G288" s="20" t="n">
        <x:f>IFERROR(E288/F288,0)</x:f>
        <x:v>12.861244019138756</x:v>
      </x:c>
      <x:c r="H288" t="str">
        <x:f>TEXT(D288,"mmm")</x:f>
        <x:v>Apr</x:v>
      </x:c>
      <x:c r="I288" s="22" t="n">
        <x:f>MONTH(D288)</x:f>
        <x:v>4</x:v>
      </x:c>
      <x:c r="J288" s="22" t="n">
        <x:f>YEAR(D288)</x:f>
        <x:v>2022</x:v>
      </x:c>
      <x:c r="K288" t="str">
        <x:f>IF(F288&gt;200,"Large Order","Standard Order")</x:f>
        <x:v>Large Order</x:v>
      </x:c>
    </x:row>
    <x:row r="289">
      <x:c r="A289" t="str">
        <x:v>Husein Augar</x:v>
      </x:c>
      <x:c r="B289" t="str">
        <x:v>Australia</x:v>
      </x:c>
      <x:c r="C289" t="str">
        <x:v>50% Dark Bites</x:v>
      </x:c>
      <x:c r="D289" s="14" t="n">
        <x:v>44792</x:v>
      </x:c>
      <x:c r="E289" s="16" t="n">
        <x:v>14889</x:v>
      </x:c>
      <x:c r="F289" s="18" t="n">
        <x:v>52</x:v>
      </x:c>
      <x:c r="G289" s="20" t="n">
        <x:f>IFERROR(E289/F289,0)</x:f>
        <x:v>286.3269230769231</x:v>
      </x:c>
      <x:c r="H289" t="str">
        <x:f>TEXT(D289,"mmm")</x:f>
        <x:v>Aug</x:v>
      </x:c>
      <x:c r="I289" s="22" t="n">
        <x:f>MONTH(D289)</x:f>
        <x:v>8</x:v>
      </x:c>
      <x:c r="J289" s="22" t="n">
        <x:f>YEAR(D289)</x:f>
        <x:v>2022</x:v>
      </x:c>
      <x:c r="K289" t="str">
        <x:f>IF(F289&gt;200,"Large Order","Standard Order")</x:f>
        <x:v>Standard Order</x:v>
      </x:c>
    </x:row>
    <x:row r="290">
      <x:c r="A290" t="str">
        <x:v>Jan Morforth</x:v>
      </x:c>
      <x:c r="B290" t="str">
        <x:v>India</x:v>
      </x:c>
      <x:c r="C290" t="str">
        <x:v>Fruit &amp; Nut Bars</x:v>
      </x:c>
      <x:c r="D290" s="14" t="n">
        <x:v>44685</x:v>
      </x:c>
      <x:c r="E290" s="16" t="n">
        <x:v>2912</x:v>
      </x:c>
      <x:c r="F290" s="18" t="n">
        <x:v>55</x:v>
      </x:c>
      <x:c r="G290" s="20" t="n">
        <x:f>IFERROR(E290/F290,0)</x:f>
        <x:v>52.945454545454545</x:v>
      </x:c>
      <x:c r="H290" t="str">
        <x:f>TEXT(D290,"mmm")</x:f>
        <x:v>May</x:v>
      </x:c>
      <x:c r="I290" s="22" t="n">
        <x:f>MONTH(D290)</x:f>
        <x:v>5</x:v>
      </x:c>
      <x:c r="J290" s="22" t="n">
        <x:f>YEAR(D290)</x:f>
        <x:v>2022</x:v>
      </x:c>
      <x:c r="K290" t="str">
        <x:f>IF(F290&gt;200,"Large Order","Standard Order")</x:f>
        <x:v>Standard Order</x:v>
      </x:c>
    </x:row>
    <x:row r="291">
      <x:c r="A291" t="str">
        <x:v>Mallorie Waber</x:v>
      </x:c>
      <x:c r="B291" t="str">
        <x:v>USA</x:v>
      </x:c>
      <x:c r="C291" t="str">
        <x:v>85% Dark Bars</x:v>
      </x:c>
      <x:c r="D291" s="14" t="n">
        <x:v>44692</x:v>
      </x:c>
      <x:c r="E291" s="16" t="n">
        <x:v>2632</x:v>
      </x:c>
      <x:c r="F291" s="18" t="n">
        <x:v>108</x:v>
      </x:c>
      <x:c r="G291" s="20" t="n">
        <x:f>IFERROR(E291/F291,0)</x:f>
        <x:v>24.37037037037037</x:v>
      </x:c>
      <x:c r="H291" t="str">
        <x:f>TEXT(D291,"mmm")</x:f>
        <x:v>May</x:v>
      </x:c>
      <x:c r="I291" s="22" t="n">
        <x:f>MONTH(D291)</x:f>
        <x:v>5</x:v>
      </x:c>
      <x:c r="J291" s="22" t="n">
        <x:f>YEAR(D291)</x:f>
        <x:v>2022</x:v>
      </x:c>
      <x:c r="K291" t="str">
        <x:f>IF(F291&gt;200,"Large Order","Standard Order")</x:f>
        <x:v>Standard Order</x:v>
      </x:c>
    </x:row>
    <x:row r="292">
      <x:c r="A292" t="str">
        <x:v>Mallorie Waber</x:v>
      </x:c>
      <x:c r="B292" t="str">
        <x:v>USA</x:v>
      </x:c>
      <x:c r="C292" t="str">
        <x:v>Eclairs</x:v>
      </x:c>
      <x:c r="D292" s="14" t="n">
        <x:v>44642</x:v>
      </x:c>
      <x:c r="E292" s="16" t="n">
        <x:v>6328</x:v>
      </x:c>
      <x:c r="F292" s="18" t="n">
        <x:v>51</x:v>
      </x:c>
      <x:c r="G292" s="20" t="n">
        <x:f>IFERROR(E292/F292,0)</x:f>
        <x:v>124.07843137254902</x:v>
      </x:c>
      <x:c r="H292" t="str">
        <x:f>TEXT(D292,"mmm")</x:f>
        <x:v>Mar</x:v>
      </x:c>
      <x:c r="I292" s="22" t="n">
        <x:f>MONTH(D292)</x:f>
        <x:v>3</x:v>
      </x:c>
      <x:c r="J292" s="22" t="n">
        <x:f>YEAR(D292)</x:f>
        <x:v>2022</x:v>
      </x:c>
      <x:c r="K292" t="str">
        <x:f>IF(F292&gt;200,"Large Order","Standard Order")</x:f>
        <x:v>Standard Order</x:v>
      </x:c>
    </x:row>
    <x:row r="293">
      <x:c r="A293" t="str">
        <x:v>Dennison Crosswaite</x:v>
      </x:c>
      <x:c r="B293" t="str">
        <x:v>Canada</x:v>
      </x:c>
      <x:c r="C293" t="str">
        <x:v>Spicy Special Slims</x:v>
      </x:c>
      <x:c r="D293" s="14" t="n">
        <x:v>44783</x:v>
      </x:c>
      <x:c r="E293" s="16" t="n">
        <x:v>2527</x:v>
      </x:c>
      <x:c r="F293" s="18" t="n">
        <x:v>216</x:v>
      </x:c>
      <x:c r="G293" s="20" t="n">
        <x:f>IFERROR(E293/F293,0)</x:f>
        <x:v>11.699074074074074</x:v>
      </x:c>
      <x:c r="H293" t="str">
        <x:f>TEXT(D293,"mmm")</x:f>
        <x:v>Aug</x:v>
      </x:c>
      <x:c r="I293" s="22" t="n">
        <x:f>MONTH(D293)</x:f>
        <x:v>8</x:v>
      </x:c>
      <x:c r="J293" s="22" t="n">
        <x:f>YEAR(D293)</x:f>
        <x:v>2022</x:v>
      </x:c>
      <x:c r="K293" t="str">
        <x:f>IF(F293&gt;200,"Large Order","Standard Order")</x:f>
        <x:v>Large Order</x:v>
      </x:c>
    </x:row>
    <x:row r="294">
      <x:c r="A294" t="str">
        <x:v>Dennison Crosswaite</x:v>
      </x:c>
      <x:c r="B294" t="str">
        <x:v>USA</x:v>
      </x:c>
      <x:c r="C294" t="str">
        <x:v>Fruit &amp; Nut Bars</x:v>
      </x:c>
      <x:c r="D294" s="14" t="n">
        <x:v>44685</x:v>
      </x:c>
      <x:c r="E294" s="16" t="n">
        <x:v>1414</x:v>
      </x:c>
      <x:c r="F294" s="18" t="n">
        <x:v>318</x:v>
      </x:c>
      <x:c r="G294" s="20" t="n">
        <x:f>IFERROR(E294/F294,0)</x:f>
        <x:v>4.446540880503145</x:v>
      </x:c>
      <x:c r="H294" t="str">
        <x:f>TEXT(D294,"mmm")</x:f>
        <x:v>May</x:v>
      </x:c>
      <x:c r="I294" s="22" t="n">
        <x:f>MONTH(D294)</x:f>
        <x:v>5</x:v>
      </x:c>
      <x:c r="J294" s="22" t="n">
        <x:f>YEAR(D294)</x:f>
        <x:v>2022</x:v>
      </x:c>
      <x:c r="K294" t="str">
        <x:f>IF(F294&gt;200,"Large Order","Standard Order")</x:f>
        <x:v>Large Order</x:v>
      </x:c>
    </x:row>
    <x:row r="295">
      <x:c r="A295" t="str">
        <x:v>Kelci Walkden</x:v>
      </x:c>
      <x:c r="B295" t="str">
        <x:v>USA</x:v>
      </x:c>
      <x:c r="C295" t="str">
        <x:v>99% Dark &amp; Pure</x:v>
      </x:c>
      <x:c r="D295" s="14" t="n">
        <x:v>44791</x:v>
      </x:c>
      <x:c r="E295" s="16" t="n">
        <x:v>7714</x:v>
      </x:c>
      <x:c r="F295" s="18" t="n">
        <x:v>238</x:v>
      </x:c>
      <x:c r="G295" s="20" t="n">
        <x:f>IFERROR(E295/F295,0)</x:f>
        <x:v>32.411764705882355</x:v>
      </x:c>
      <x:c r="H295" t="str">
        <x:f>TEXT(D295,"mmm")</x:f>
        <x:v>Aug</x:v>
      </x:c>
      <x:c r="I295" s="22" t="n">
        <x:f>MONTH(D295)</x:f>
        <x:v>8</x:v>
      </x:c>
      <x:c r="J295" s="22" t="n">
        <x:f>YEAR(D295)</x:f>
        <x:v>2022</x:v>
      </x:c>
      <x:c r="K295" t="str">
        <x:f>IF(F295&gt;200,"Large Order","Standard Order")</x:f>
        <x:v>Large Order</x:v>
      </x:c>
    </x:row>
    <x:row r="296">
      <x:c r="A296" t="str">
        <x:v>Dotty Strutley</x:v>
      </x:c>
      <x:c r="B296" t="str">
        <x:v>Canada</x:v>
      </x:c>
      <x:c r="C296" t="str">
        <x:v>Raspberry Choco</x:v>
      </x:c>
      <x:c r="D296" s="14" t="n">
        <x:v>44776</x:v>
      </x:c>
      <x:c r="E296" s="16" t="n">
        <x:v>4347</x:v>
      </x:c>
      <x:c r="F296" s="18" t="n">
        <x:v>238</x:v>
      </x:c>
      <x:c r="G296" s="20" t="n">
        <x:f>IFERROR(E296/F296,0)</x:f>
        <x:v>18.264705882352942</x:v>
      </x:c>
      <x:c r="H296" t="str">
        <x:f>TEXT(D296,"mmm")</x:f>
        <x:v>Aug</x:v>
      </x:c>
      <x:c r="I296" s="22" t="n">
        <x:f>MONTH(D296)</x:f>
        <x:v>8</x:v>
      </x:c>
      <x:c r="J296" s="22" t="n">
        <x:f>YEAR(D296)</x:f>
        <x:v>2022</x:v>
      </x:c>
      <x:c r="K296" t="str">
        <x:f>IF(F296&gt;200,"Large Order","Standard Order")</x:f>
        <x:v>Large Order</x:v>
      </x:c>
    </x:row>
    <x:row r="297">
      <x:c r="A297" t="str">
        <x:v>Marney O'Breen</x:v>
      </x:c>
      <x:c r="B297" t="str">
        <x:v>New Zealand</x:v>
      </x:c>
      <x:c r="C297" t="str">
        <x:v>Milk Bars</x:v>
      </x:c>
      <x:c r="D297" s="14" t="n">
        <x:v>44575</x:v>
      </x:c>
      <x:c r="E297" s="16" t="n">
        <x:v>7490</x:v>
      </x:c>
      <x:c r="F297" s="18" t="n">
        <x:v>315</x:v>
      </x:c>
      <x:c r="G297" s="20" t="n">
        <x:f>IFERROR(E297/F297,0)</x:f>
        <x:v>23.77777777777778</x:v>
      </x:c>
      <x:c r="H297" t="str">
        <x:f>TEXT(D297,"mmm")</x:f>
        <x:v>Jan</x:v>
      </x:c>
      <x:c r="I297" s="22" t="n">
        <x:f>MONTH(D297)</x:f>
        <x:v>1</x:v>
      </x:c>
      <x:c r="J297" s="22" t="n">
        <x:f>YEAR(D297)</x:f>
        <x:v>2022</x:v>
      </x:c>
      <x:c r="K297" t="str">
        <x:f>IF(F297&gt;200,"Large Order","Standard Order")</x:f>
        <x:v>Large Order</x:v>
      </x:c>
    </x:row>
    <x:row r="298">
      <x:c r="A298" t="str">
        <x:v>Madelene Upcott</x:v>
      </x:c>
      <x:c r="B298" t="str">
        <x:v>Australia</x:v>
      </x:c>
      <x:c r="C298" t="str">
        <x:v>Choco Coated Almonds</x:v>
      </x:c>
      <x:c r="D298" s="14" t="n">
        <x:v>44659</x:v>
      </x:c>
      <x:c r="E298" s="16" t="n">
        <x:v>2058</x:v>
      </x:c>
      <x:c r="F298" s="18" t="n">
        <x:v>72</x:v>
      </x:c>
      <x:c r="G298" s="20" t="n">
        <x:f>IFERROR(E298/F298,0)</x:f>
        <x:v>28.583333333333332</x:v>
      </x:c>
      <x:c r="H298" t="str">
        <x:f>TEXT(D298,"mmm")</x:f>
        <x:v>Apr</x:v>
      </x:c>
      <x:c r="I298" s="22" t="n">
        <x:f>MONTH(D298)</x:f>
        <x:v>4</x:v>
      </x:c>
      <x:c r="J298" s="22" t="n">
        <x:f>YEAR(D298)</x:f>
        <x:v>2022</x:v>
      </x:c>
      <x:c r="K298" t="str">
        <x:f>IF(F298&gt;200,"Large Order","Standard Order")</x:f>
        <x:v>Standard Order</x:v>
      </x:c>
    </x:row>
    <x:row r="299">
      <x:c r="A299" t="str">
        <x:v>Kelci Walkden</x:v>
      </x:c>
      <x:c r="B299" t="str">
        <x:v>UK</x:v>
      </x:c>
      <x:c r="C299" t="str">
        <x:v>Orange Choco</x:v>
      </x:c>
      <x:c r="D299" s="14" t="n">
        <x:v>44774</x:v>
      </x:c>
      <x:c r="E299" s="16" t="n">
        <x:v>3640</x:v>
      </x:c>
      <x:c r="F299" s="18" t="n">
        <x:v>3</x:v>
      </x:c>
      <x:c r="G299" s="20" t="n">
        <x:f>IFERROR(E299/F299,0)</x:f>
        <x:v>1213.3333333333333</x:v>
      </x:c>
      <x:c r="H299" t="str">
        <x:f>TEXT(D299,"mmm")</x:f>
        <x:v>Aug</x:v>
      </x:c>
      <x:c r="I299" s="22" t="n">
        <x:f>MONTH(D299)</x:f>
        <x:v>8</x:v>
      </x:c>
      <x:c r="J299" s="22" t="n">
        <x:f>YEAR(D299)</x:f>
        <x:v>2022</x:v>
      </x:c>
      <x:c r="K299" t="str">
        <x:f>IF(F299&gt;200,"Large Order","Standard Order")</x:f>
        <x:v>Standard Order</x:v>
      </x:c>
    </x:row>
    <x:row r="300">
      <x:c r="A300" t="str">
        <x:v>Dennison Crosswaite</x:v>
      </x:c>
      <x:c r="B300" t="str">
        <x:v>Canada</x:v>
      </x:c>
      <x:c r="C300" t="str">
        <x:v>Eclairs</x:v>
      </x:c>
      <x:c r="D300" s="14" t="n">
        <x:v>44635</x:v>
      </x:c>
      <x:c r="E300" s="16" t="n">
        <x:v>455</x:v>
      </x:c>
      <x:c r="F300" s="18" t="n">
        <x:v>45</x:v>
      </x:c>
      <x:c r="G300" s="20" t="n">
        <x:f>IFERROR(E300/F300,0)</x:f>
        <x:v>10.11111111111111</x:v>
      </x:c>
      <x:c r="H300" t="str">
        <x:f>TEXT(D300,"mmm")</x:f>
        <x:v>Mar</x:v>
      </x:c>
      <x:c r="I300" s="22" t="n">
        <x:f>MONTH(D300)</x:f>
        <x:v>3</x:v>
      </x:c>
      <x:c r="J300" s="22" t="n">
        <x:f>YEAR(D300)</x:f>
        <x:v>2022</x:v>
      </x:c>
      <x:c r="K300" t="str">
        <x:f>IF(F300&gt;200,"Large Order","Standard Order")</x:f>
        <x:v>Standard Order</x:v>
      </x:c>
    </x:row>
    <x:row r="301">
      <x:c r="A301" t="str">
        <x:v>Karlen McCaffrey</x:v>
      </x:c>
      <x:c r="B301" t="str">
        <x:v>India</x:v>
      </x:c>
      <x:c r="C301" t="str">
        <x:v>Mint Chip Choco</x:v>
      </x:c>
      <x:c r="D301" s="14" t="n">
        <x:v>44757</x:v>
      </x:c>
      <x:c r="E301" s="16" t="n">
        <x:v>10990</x:v>
      </x:c>
      <x:c r="F301" s="18" t="n">
        <x:v>184</x:v>
      </x:c>
      <x:c r="G301" s="20" t="n">
        <x:f>IFERROR(E301/F301,0)</x:f>
        <x:v>59.72826086956522</x:v>
      </x:c>
      <x:c r="H301" t="str">
        <x:f>TEXT(D301,"mmm")</x:f>
        <x:v>Jul</x:v>
      </x:c>
      <x:c r="I301" s="22" t="n">
        <x:f>MONTH(D301)</x:f>
        <x:v>7</x:v>
      </x:c>
      <x:c r="J301" s="22" t="n">
        <x:f>YEAR(D301)</x:f>
        <x:v>2022</x:v>
      </x:c>
      <x:c r="K301" t="str">
        <x:f>IF(F301&gt;200,"Large Order","Standard Order")</x:f>
        <x:v>Standard Order</x:v>
      </x:c>
    </x:row>
    <x:row r="302">
      <x:c r="A302" t="str">
        <x:v>Barr Faughny</x:v>
      </x:c>
      <x:c r="B302" t="str">
        <x:v>New Zealand</x:v>
      </x:c>
      <x:c r="C302" t="str">
        <x:v>Almond Choco</x:v>
      </x:c>
      <x:c r="D302" s="14" t="n">
        <x:v>44574</x:v>
      </x:c>
      <x:c r="E302" s="16" t="n">
        <x:v>5558</x:v>
      </x:c>
      <x:c r="F302" s="18" t="n">
        <x:v>127</x:v>
      </x:c>
      <x:c r="G302" s="20" t="n">
        <x:f>IFERROR(E302/F302,0)</x:f>
        <x:v>43.76377952755905</x:v>
      </x:c>
      <x:c r="H302" t="str">
        <x:f>TEXT(D302,"mmm")</x:f>
        <x:v>Jan</x:v>
      </x:c>
      <x:c r="I302" s="22" t="n">
        <x:f>MONTH(D302)</x:f>
        <x:v>1</x:v>
      </x:c>
      <x:c r="J302" s="22" t="n">
        <x:f>YEAR(D302)</x:f>
        <x:v>2022</x:v>
      </x:c>
      <x:c r="K302" t="str">
        <x:f>IF(F302&gt;200,"Large Order","Standard Order")</x:f>
        <x:v>Standard Order</x:v>
      </x:c>
    </x:row>
    <x:row r="303">
      <x:c r="A303" t="str">
        <x:v>Mallorie Waber</x:v>
      </x:c>
      <x:c r="B303" t="str">
        <x:v>Australia</x:v>
      </x:c>
      <x:c r="C303" t="str">
        <x:v>85% Dark Bars</x:v>
      </x:c>
      <x:c r="D303" s="14" t="n">
        <x:v>44799</x:v>
      </x:c>
      <x:c r="E303" s="16" t="n">
        <x:v>2541</x:v>
      </x:c>
      <x:c r="F303" s="18" t="n">
        <x:v>53</x:v>
      </x:c>
      <x:c r="G303" s="20" t="n">
        <x:f>IFERROR(E303/F303,0)</x:f>
        <x:v>47.943396226415096</x:v>
      </x:c>
      <x:c r="H303" t="str">
        <x:f>TEXT(D303,"mmm")</x:f>
        <x:v>Aug</x:v>
      </x:c>
      <x:c r="I303" s="22" t="n">
        <x:f>MONTH(D303)</x:f>
        <x:v>8</x:v>
      </x:c>
      <x:c r="J303" s="22" t="n">
        <x:f>YEAR(D303)</x:f>
        <x:v>2022</x:v>
      </x:c>
      <x:c r="K303" t="str">
        <x:f>IF(F303&gt;200,"Large Order","Standard Order")</x:f>
        <x:v>Standard Order</x:v>
      </x:c>
    </x:row>
    <x:row r="304">
      <x:c r="A304" t="str">
        <x:v>Ches Bonnell</x:v>
      </x:c>
      <x:c r="B304" t="str">
        <x:v>Canada</x:v>
      </x:c>
      <x:c r="C304" t="str">
        <x:v>Eclairs</x:v>
      </x:c>
      <x:c r="D304" s="14" t="n">
        <x:v>44571</x:v>
      </x:c>
      <x:c r="E304" s="16" t="n">
        <x:v>1876</x:v>
      </x:c>
      <x:c r="F304" s="18" t="n">
        <x:v>172</x:v>
      </x:c>
      <x:c r="G304" s="20" t="n">
        <x:f>IFERROR(E304/F304,0)</x:f>
        <x:v>10.906976744186046</x:v>
      </x:c>
      <x:c r="H304" t="str">
        <x:f>TEXT(D304,"mmm")</x:f>
        <x:v>Jan</x:v>
      </x:c>
      <x:c r="I304" s="22" t="n">
        <x:f>MONTH(D304)</x:f>
        <x:v>1</x:v>
      </x:c>
      <x:c r="J304" s="22" t="n">
        <x:f>YEAR(D304)</x:f>
        <x:v>2022</x:v>
      </x:c>
      <x:c r="K304" t="str">
        <x:f>IF(F304&gt;200,"Large Order","Standard Order")</x:f>
        <x:v>Standard Order</x:v>
      </x:c>
    </x:row>
    <x:row r="305">
      <x:c r="A305" t="str">
        <x:v>Gigi Bohling</x:v>
      </x:c>
      <x:c r="B305" t="str">
        <x:v>Australia</x:v>
      </x:c>
      <x:c r="C305" t="str">
        <x:v>White Choc</x:v>
      </x:c>
      <x:c r="D305" s="14" t="n">
        <x:v>44692</x:v>
      </x:c>
      <x:c r="E305" s="16" t="n">
        <x:v>5523</x:v>
      </x:c>
      <x:c r="F305" s="18" t="n">
        <x:v>87</x:v>
      </x:c>
      <x:c r="G305" s="20" t="n">
        <x:f>IFERROR(E305/F305,0)</x:f>
        <x:v>63.48275862068966</x:v>
      </x:c>
      <x:c r="H305" t="str">
        <x:f>TEXT(D305,"mmm")</x:f>
        <x:v>May</x:v>
      </x:c>
      <x:c r="I305" s="22" t="n">
        <x:f>MONTH(D305)</x:f>
        <x:v>5</x:v>
      </x:c>
      <x:c r="J305" s="22" t="n">
        <x:f>YEAR(D305)</x:f>
        <x:v>2022</x:v>
      </x:c>
      <x:c r="K305" t="str">
        <x:f>IF(F305&gt;200,"Large Order","Standard Order")</x:f>
        <x:v>Standard Order</x:v>
      </x:c>
    </x:row>
    <x:row r="306">
      <x:c r="A306" t="str">
        <x:v>Beverie Moffet</x:v>
      </x:c>
      <x:c r="B306" t="str">
        <x:v>New Zealand</x:v>
      </x:c>
      <x:c r="C306" t="str">
        <x:v>85% Dark Bars</x:v>
      </x:c>
      <x:c r="D306" s="14" t="n">
        <x:v>44803</x:v>
      </x:c>
      <x:c r="E306" s="16" t="n">
        <x:v>11200</x:v>
      </x:c>
      <x:c r="F306" s="18" t="n">
        <x:v>22</x:v>
      </x:c>
      <x:c r="G306" s="20" t="n">
        <x:f>IFERROR(E306/F306,0)</x:f>
        <x:v>509.09090909090907</x:v>
      </x:c>
      <x:c r="H306" t="str">
        <x:f>TEXT(D306,"mmm")</x:f>
        <x:v>Aug</x:v>
      </x:c>
      <x:c r="I306" s="22" t="n">
        <x:f>MONTH(D306)</x:f>
        <x:v>8</x:v>
      </x:c>
      <x:c r="J306" s="22" t="n">
        <x:f>YEAR(D306)</x:f>
        <x:v>2022</x:v>
      </x:c>
      <x:c r="K306" t="str">
        <x:f>IF(F306&gt;200,"Large Order","Standard Order")</x:f>
        <x:v>Standard Order</x:v>
      </x:c>
    </x:row>
    <x:row r="307">
      <x:c r="A307" t="str">
        <x:v>Kaine Padly</x:v>
      </x:c>
      <x:c r="B307" t="str">
        <x:v>USA</x:v>
      </x:c>
      <x:c r="C307" t="str">
        <x:v>Caramel Stuffed Bars</x:v>
      </x:c>
      <x:c r="D307" s="14" t="n">
        <x:v>44763</x:v>
      </x:c>
      <x:c r="E307" s="16" t="n">
        <x:v>5593</x:v>
      </x:c>
      <x:c r="F307" s="18" t="n">
        <x:v>122</x:v>
      </x:c>
      <x:c r="G307" s="20" t="n">
        <x:f>IFERROR(E307/F307,0)</x:f>
        <x:v>45.84426229508197</x:v>
      </x:c>
      <x:c r="H307" t="str">
        <x:f>TEXT(D307,"mmm")</x:f>
        <x:v>Jul</x:v>
      </x:c>
      <x:c r="I307" s="22" t="n">
        <x:f>MONTH(D307)</x:f>
        <x:v>7</x:v>
      </x:c>
      <x:c r="J307" s="22" t="n">
        <x:f>YEAR(D307)</x:f>
        <x:v>2022</x:v>
      </x:c>
      <x:c r="K307" t="str">
        <x:f>IF(F307&gt;200,"Large Order","Standard Order")</x:f>
        <x:v>Standard Order</x:v>
      </x:c>
    </x:row>
    <x:row r="308">
      <x:c r="A308" t="str">
        <x:v>Mallorie Waber</x:v>
      </x:c>
      <x:c r="B308" t="str">
        <x:v>Australia</x:v>
      </x:c>
      <x:c r="C308" t="str">
        <x:v>Almond Choco</x:v>
      </x:c>
      <x:c r="D308" s="14" t="n">
        <x:v>44774</x:v>
      </x:c>
      <x:c r="E308" s="16" t="n">
        <x:v>7882</x:v>
      </x:c>
      <x:c r="F308" s="18" t="n">
        <x:v>125</x:v>
      </x:c>
      <x:c r="G308" s="20" t="n">
        <x:f>IFERROR(E308/F308,0)</x:f>
        <x:v>63.056</x:v>
      </x:c>
      <x:c r="H308" t="str">
        <x:f>TEXT(D308,"mmm")</x:f>
        <x:v>Aug</x:v>
      </x:c>
      <x:c r="I308" s="22" t="n">
        <x:f>MONTH(D308)</x:f>
        <x:v>8</x:v>
      </x:c>
      <x:c r="J308" s="22" t="n">
        <x:f>YEAR(D308)</x:f>
        <x:v>2022</x:v>
      </x:c>
      <x:c r="K308" t="str">
        <x:f>IF(F308&gt;200,"Large Order","Standard Order")</x:f>
        <x:v>Standard Order</x:v>
      </x:c>
    </x:row>
    <x:row r="309">
      <x:c r="A309" t="str">
        <x:v>Brien Boise</x:v>
      </x:c>
      <x:c r="B309" t="str">
        <x:v>Canada</x:v>
      </x:c>
      <x:c r="C309" t="str">
        <x:v>85% Dark Bars</x:v>
      </x:c>
      <x:c r="D309" s="14" t="n">
        <x:v>44609</x:v>
      </x:c>
      <x:c r="E309" s="16" t="n">
        <x:v>10241</x:v>
      </x:c>
      <x:c r="F309" s="18" t="n">
        <x:v>259</x:v>
      </x:c>
      <x:c r="G309" s="20" t="n">
        <x:f>IFERROR(E309/F309,0)</x:f>
        <x:v>39.54054054054054</x:v>
      </x:c>
      <x:c r="H309" t="str">
        <x:f>TEXT(D309,"mmm")</x:f>
        <x:v>Feb</x:v>
      </x:c>
      <x:c r="I309" s="22" t="n">
        <x:f>MONTH(D309)</x:f>
        <x:v>2</x:v>
      </x:c>
      <x:c r="J309" s="22" t="n">
        <x:f>YEAR(D309)</x:f>
        <x:v>2022</x:v>
      </x:c>
      <x:c r="K309" t="str">
        <x:f>IF(F309&gt;200,"Large Order","Standard Order")</x:f>
        <x:v>Large Order</x:v>
      </x:c>
    </x:row>
    <x:row r="310">
      <x:c r="A310" t="str">
        <x:v>Brien Boise</x:v>
      </x:c>
      <x:c r="B310" t="str">
        <x:v>Australia</x:v>
      </x:c>
      <x:c r="C310" t="str">
        <x:v>Drinking Coco</x:v>
      </x:c>
      <x:c r="D310" s="14" t="n">
        <x:v>44769</x:v>
      </x:c>
      <x:c r="E310" s="16" t="n">
        <x:v>6832</x:v>
      </x:c>
      <x:c r="F310" s="18" t="n">
        <x:v>156</x:v>
      </x:c>
      <x:c r="G310" s="20" t="n">
        <x:f>IFERROR(E310/F310,0)</x:f>
        <x:v>43.794871794871796</x:v>
      </x:c>
      <x:c r="H310" t="str">
        <x:f>TEXT(D310,"mmm")</x:f>
        <x:v>Jul</x:v>
      </x:c>
      <x:c r="I310" s="22" t="n">
        <x:f>MONTH(D310)</x:f>
        <x:v>7</x:v>
      </x:c>
      <x:c r="J310" s="22" t="n">
        <x:f>YEAR(D310)</x:f>
        <x:v>2022</x:v>
      </x:c>
      <x:c r="K310" t="str">
        <x:f>IF(F310&gt;200,"Large Order","Standard Order")</x:f>
        <x:v>Standard Order</x:v>
      </x:c>
    </x:row>
    <x:row r="311">
      <x:c r="A311" t="str">
        <x:v>Dotty Strutley</x:v>
      </x:c>
      <x:c r="B311" t="str">
        <x:v>USA</x:v>
      </x:c>
      <x:c r="C311" t="str">
        <x:v>Orange Choco</x:v>
      </x:c>
      <x:c r="D311" s="14" t="n">
        <x:v>44615</x:v>
      </x:c>
      <x:c r="E311" s="16" t="n">
        <x:v>1379</x:v>
      </x:c>
      <x:c r="F311" s="18" t="n">
        <x:v>107</x:v>
      </x:c>
      <x:c r="G311" s="20" t="n">
        <x:f>IFERROR(E311/F311,0)</x:f>
        <x:v>12.88785046728972</x:v>
      </x:c>
      <x:c r="H311" t="str">
        <x:f>TEXT(D311,"mmm")</x:f>
        <x:v>Feb</x:v>
      </x:c>
      <x:c r="I311" s="22" t="n">
        <x:f>MONTH(D311)</x:f>
        <x:v>2</x:v>
      </x:c>
      <x:c r="J311" s="22" t="n">
        <x:f>YEAR(D311)</x:f>
        <x:v>2022</x:v>
      </x:c>
      <x:c r="K311" t="str">
        <x:f>IF(F311&gt;200,"Large Order","Standard Order")</x:f>
        <x:v>Standard Order</x:v>
      </x:c>
    </x:row>
    <x:row r="312">
      <x:c r="A312" t="str">
        <x:v>Rafaelita Blaksland</x:v>
      </x:c>
      <x:c r="B312" t="str">
        <x:v>Australia</x:v>
      </x:c>
      <x:c r="C312" t="str">
        <x:v>50% Dark Bites</x:v>
      </x:c>
      <x:c r="D312" s="14" t="n">
        <x:v>44642</x:v>
      </x:c>
      <x:c r="E312" s="16" t="n">
        <x:v>3010</x:v>
      </x:c>
      <x:c r="F312" s="18" t="n">
        <x:v>40</x:v>
      </x:c>
      <x:c r="G312" s="20" t="n">
        <x:f>IFERROR(E312/F312,0)</x:f>
        <x:v>75.25</x:v>
      </x:c>
      <x:c r="H312" t="str">
        <x:f>TEXT(D312,"mmm")</x:f>
        <x:v>Mar</x:v>
      </x:c>
      <x:c r="I312" s="22" t="n">
        <x:f>MONTH(D312)</x:f>
        <x:v>3</x:v>
      </x:c>
      <x:c r="J312" s="22" t="n">
        <x:f>YEAR(D312)</x:f>
        <x:v>2022</x:v>
      </x:c>
      <x:c r="K312" t="str">
        <x:f>IF(F312&gt;200,"Large Order","Standard Order")</x:f>
        <x:v>Standard Order</x:v>
      </x:c>
    </x:row>
    <x:row r="313">
      <x:c r="A313" t="str">
        <x:v>Dennison Crosswaite</x:v>
      </x:c>
      <x:c r="B313" t="str">
        <x:v>India</x:v>
      </x:c>
      <x:c r="C313" t="str">
        <x:v>99% Dark &amp; Pure</x:v>
      </x:c>
      <x:c r="D313" s="14" t="n">
        <x:v>44735</x:v>
      </x:c>
      <x:c r="E313" s="16" t="n">
        <x:v>6888</x:v>
      </x:c>
      <x:c r="F313" s="18" t="n">
        <x:v>311</x:v>
      </x:c>
      <x:c r="G313" s="20" t="n">
        <x:f>IFERROR(E313/F313,0)</x:f>
        <x:v>22.14790996784566</x:v>
      </x:c>
      <x:c r="H313" t="str">
        <x:f>TEXT(D313,"mmm")</x:f>
        <x:v>Jun</x:v>
      </x:c>
      <x:c r="I313" s="22" t="n">
        <x:f>MONTH(D313)</x:f>
        <x:v>6</x:v>
      </x:c>
      <x:c r="J313" s="22" t="n">
        <x:f>YEAR(D313)</x:f>
        <x:v>2022</x:v>
      </x:c>
      <x:c r="K313" t="str">
        <x:f>IF(F313&gt;200,"Large Order","Standard Order")</x:f>
        <x:v>Large Order</x:v>
      </x:c>
    </x:row>
    <x:row r="314">
      <x:c r="A314" t="str">
        <x:v>Curtice Advani</x:v>
      </x:c>
      <x:c r="B314" t="str">
        <x:v>UK</x:v>
      </x:c>
      <x:c r="C314" t="str">
        <x:v>White Choc</x:v>
      </x:c>
      <x:c r="D314" s="14" t="n">
        <x:v>44593</x:v>
      </x:c>
      <x:c r="E314" s="16" t="n">
        <x:v>1540</x:v>
      </x:c>
      <x:c r="F314" s="18" t="n">
        <x:v>73</x:v>
      </x:c>
      <x:c r="G314" s="20" t="n">
        <x:f>IFERROR(E314/F314,0)</x:f>
        <x:v>21.095890410958905</x:v>
      </x:c>
      <x:c r="H314" t="str">
        <x:f>TEXT(D314,"mmm")</x:f>
        <x:v>Feb</x:v>
      </x:c>
      <x:c r="I314" s="22" t="n">
        <x:f>MONTH(D314)</x:f>
        <x:v>2</x:v>
      </x:c>
      <x:c r="J314" s="22" t="n">
        <x:f>YEAR(D314)</x:f>
        <x:v>2022</x:v>
      </x:c>
      <x:c r="K314" t="str">
        <x:f>IF(F314&gt;200,"Large Order","Standard Order")</x:f>
        <x:v>Standard Order</x:v>
      </x:c>
    </x:row>
    <x:row r="315">
      <x:c r="A315" t="str">
        <x:v>Kelci Walkden</x:v>
      </x:c>
      <x:c r="B315" t="str">
        <x:v>Australia</x:v>
      </x:c>
      <x:c r="C315" t="str">
        <x:v>After Nines</x:v>
      </x:c>
      <x:c r="D315" s="14" t="n">
        <x:v>44622</x:v>
      </x:c>
      <x:c r="E315" s="16" t="n">
        <x:v>6916</x:v>
      </x:c>
      <x:c r="F315" s="18" t="n">
        <x:v>288</x:v>
      </x:c>
      <x:c r="G315" s="20" t="n">
        <x:f>IFERROR(E315/F315,0)</x:f>
        <x:v>24.01388888888889</x:v>
      </x:c>
      <x:c r="H315" t="str">
        <x:f>TEXT(D315,"mmm")</x:f>
        <x:v>Mar</x:v>
      </x:c>
      <x:c r="I315" s="22" t="n">
        <x:f>MONTH(D315)</x:f>
        <x:v>3</x:v>
      </x:c>
      <x:c r="J315" s="22" t="n">
        <x:f>YEAR(D315)</x:f>
        <x:v>2022</x:v>
      </x:c>
      <x:c r="K315" t="str">
        <x:f>IF(F315&gt;200,"Large Order","Standard Order")</x:f>
        <x:v>Large Order</x:v>
      </x:c>
    </x:row>
    <x:row r="316">
      <x:c r="A316" t="str">
        <x:v>Gigi Bohling</x:v>
      </x:c>
      <x:c r="B316" t="str">
        <x:v>UK</x:v>
      </x:c>
      <x:c r="C316" t="str">
        <x:v>Fruit &amp; Nut Bars</x:v>
      </x:c>
      <x:c r="D316" s="14" t="n">
        <x:v>44657</x:v>
      </x:c>
      <x:c r="E316" s="16" t="n">
        <x:v>1232</x:v>
      </x:c>
      <x:c r="F316" s="18" t="n">
        <x:v>86</x:v>
      </x:c>
      <x:c r="G316" s="20" t="n">
        <x:f>IFERROR(E316/F316,0)</x:f>
        <x:v>14.325581395348838</x:v>
      </x:c>
      <x:c r="H316" t="str">
        <x:f>TEXT(D316,"mmm")</x:f>
        <x:v>Apr</x:v>
      </x:c>
      <x:c r="I316" s="22" t="n">
        <x:f>MONTH(D316)</x:f>
        <x:v>4</x:v>
      </x:c>
      <x:c r="J316" s="22" t="n">
        <x:f>YEAR(D316)</x:f>
        <x:v>2022</x:v>
      </x:c>
      <x:c r="K316" t="str">
        <x:f>IF(F316&gt;200,"Large Order","Standard Order")</x:f>
        <x:v>Standard Order</x:v>
      </x:c>
    </x:row>
    <x:row r="317">
      <x:c r="A317" t="str">
        <x:v>Gunar Cockshoot</x:v>
      </x:c>
      <x:c r="B317" t="str">
        <x:v>Australia</x:v>
      </x:c>
      <x:c r="C317" t="str">
        <x:v>Raspberry Choco</x:v>
      </x:c>
      <x:c r="D317" s="14" t="n">
        <x:v>44637</x:v>
      </x:c>
      <x:c r="E317" s="16" t="n">
        <x:v>602</x:v>
      </x:c>
      <x:c r="F317" s="18" t="n">
        <x:v>72</x:v>
      </x:c>
      <x:c r="G317" s="20" t="n">
        <x:f>IFERROR(E317/F317,0)</x:f>
        <x:v>8.36111111111111</x:v>
      </x:c>
      <x:c r="H317" t="str">
        <x:f>TEXT(D317,"mmm")</x:f>
        <x:v>Mar</x:v>
      </x:c>
      <x:c r="I317" s="22" t="n">
        <x:f>MONTH(D317)</x:f>
        <x:v>3</x:v>
      </x:c>
      <x:c r="J317" s="22" t="n">
        <x:f>YEAR(D317)</x:f>
        <x:v>2022</x:v>
      </x:c>
      <x:c r="K317" t="str">
        <x:f>IF(F317&gt;200,"Large Order","Standard Order")</x:f>
        <x:v>Standard Order</x:v>
      </x:c>
    </x:row>
    <x:row r="318">
      <x:c r="A318" t="str">
        <x:v>Curtice Advani</x:v>
      </x:c>
      <x:c r="B318" t="str">
        <x:v>UK</x:v>
      </x:c>
      <x:c r="C318" t="str">
        <x:v>Fruit &amp; Nut Bars</x:v>
      </x:c>
      <x:c r="D318" s="14" t="n">
        <x:v>44736</x:v>
      </x:c>
      <x:c r="E318" s="16" t="n">
        <x:v>10927</x:v>
      </x:c>
      <x:c r="F318" s="18" t="n">
        <x:v>136</x:v>
      </x:c>
      <x:c r="G318" s="20" t="n">
        <x:f>IFERROR(E318/F318,0)</x:f>
        <x:v>80.34558823529412</x:v>
      </x:c>
      <x:c r="H318" t="str">
        <x:f>TEXT(D318,"mmm")</x:f>
        <x:v>Jun</x:v>
      </x:c>
      <x:c r="I318" s="22" t="n">
        <x:f>MONTH(D318)</x:f>
        <x:v>6</x:v>
      </x:c>
      <x:c r="J318" s="22" t="n">
        <x:f>YEAR(D318)</x:f>
        <x:v>2022</x:v>
      </x:c>
      <x:c r="K318" t="str">
        <x:f>IF(F318&gt;200,"Large Order","Standard Order")</x:f>
        <x:v>Standard Order</x:v>
      </x:c>
    </x:row>
    <x:row r="319">
      <x:c r="A319" t="str">
        <x:v>Barr Faughny</x:v>
      </x:c>
      <x:c r="B319" t="str">
        <x:v>Canada</x:v>
      </x:c>
      <x:c r="C319" t="str">
        <x:v>50% Dark Bites</x:v>
      </x:c>
      <x:c r="D319" s="14" t="n">
        <x:v>44761</x:v>
      </x:c>
      <x:c r="E319" s="16" t="n">
        <x:v>10185</x:v>
      </x:c>
      <x:c r="F319" s="18" t="n">
        <x:v>303</x:v>
      </x:c>
      <x:c r="G319" s="20" t="n">
        <x:f>IFERROR(E319/F319,0)</x:f>
        <x:v>33.613861386138616</x:v>
      </x:c>
      <x:c r="H319" t="str">
        <x:f>TEXT(D319,"mmm")</x:f>
        <x:v>Jul</x:v>
      </x:c>
      <x:c r="I319" s="22" t="n">
        <x:f>MONTH(D319)</x:f>
        <x:v>7</x:v>
      </x:c>
      <x:c r="J319" s="22" t="n">
        <x:f>YEAR(D319)</x:f>
        <x:v>2022</x:v>
      </x:c>
      <x:c r="K319" t="str">
        <x:f>IF(F319&gt;200,"Large Order","Standard Order")</x:f>
        <x:v>Large Order</x:v>
      </x:c>
    </x:row>
    <x:row r="320">
      <x:c r="A320" t="str">
        <x:v>Curtice Advani</x:v>
      </x:c>
      <x:c r="B320" t="str">
        <x:v>USA</x:v>
      </x:c>
      <x:c r="C320" t="str">
        <x:v>Spicy Special Slims</x:v>
      </x:c>
      <x:c r="D320" s="14" t="n">
        <x:v>44753</x:v>
      </x:c>
      <x:c r="E320" s="16" t="n">
        <x:v>1603</x:v>
      </x:c>
      <x:c r="F320" s="18" t="n">
        <x:v>264</x:v>
      </x:c>
      <x:c r="G320" s="20" t="n">
        <x:f>IFERROR(E320/F320,0)</x:f>
        <x:v>6.071969696969697</x:v>
      </x:c>
      <x:c r="H320" t="str">
        <x:f>TEXT(D320,"mmm")</x:f>
        <x:v>Jul</x:v>
      </x:c>
      <x:c r="I320" s="22" t="n">
        <x:f>MONTH(D320)</x:f>
        <x:v>7</x:v>
      </x:c>
      <x:c r="J320" s="22" t="n">
        <x:f>YEAR(D320)</x:f>
        <x:v>2022</x:v>
      </x:c>
      <x:c r="K320" t="str">
        <x:f>IF(F320&gt;200,"Large Order","Standard Order")</x:f>
        <x:v>Large Order</x:v>
      </x:c>
    </x:row>
    <x:row r="321">
      <x:c r="A321" t="str">
        <x:v>Brien Boise</x:v>
      </x:c>
      <x:c r="B321" t="str">
        <x:v>India</x:v>
      </x:c>
      <x:c r="C321" t="str">
        <x:v>Almond Choco</x:v>
      </x:c>
      <x:c r="D321" s="14" t="n">
        <x:v>44574</x:v>
      </x:c>
      <x:c r="E321" s="16" t="n">
        <x:v>2170</x:v>
      </x:c>
      <x:c r="F321" s="18" t="n">
        <x:v>218</x:v>
      </x:c>
      <x:c r="G321" s="20" t="n">
        <x:f>IFERROR(E321/F321,0)</x:f>
        <x:v>9.954128440366972</x:v>
      </x:c>
      <x:c r="H321" t="str">
        <x:f>TEXT(D321,"mmm")</x:f>
        <x:v>Jan</x:v>
      </x:c>
      <x:c r="I321" s="22" t="n">
        <x:f>MONTH(D321)</x:f>
        <x:v>1</x:v>
      </x:c>
      <x:c r="J321" s="22" t="n">
        <x:f>YEAR(D321)</x:f>
        <x:v>2022</x:v>
      </x:c>
      <x:c r="K321" t="str">
        <x:f>IF(F321&gt;200,"Large Order","Standard Order")</x:f>
        <x:v>Large Order</x:v>
      </x:c>
    </x:row>
    <x:row r="322">
      <x:c r="A322" t="str">
        <x:v>Oby Sorrel</x:v>
      </x:c>
      <x:c r="B322" t="str">
        <x:v>New Zealand</x:v>
      </x:c>
      <x:c r="C322" t="str">
        <x:v>Smooth Silky Salty</x:v>
      </x:c>
      <x:c r="D322" s="14" t="n">
        <x:v>44749</x:v>
      </x:c>
      <x:c r="E322" s="16" t="n">
        <x:v>8673</x:v>
      </x:c>
      <x:c r="F322" s="18" t="n">
        <x:v>60</x:v>
      </x:c>
      <x:c r="G322" s="20" t="n">
        <x:f>IFERROR(E322/F322,0)</x:f>
        <x:v>144.55</x:v>
      </x:c>
      <x:c r="H322" t="str">
        <x:f>TEXT(D322,"mmm")</x:f>
        <x:v>Jul</x:v>
      </x:c>
      <x:c r="I322" s="22" t="n">
        <x:f>MONTH(D322)</x:f>
        <x:v>7</x:v>
      </x:c>
      <x:c r="J322" s="22" t="n">
        <x:f>YEAR(D322)</x:f>
        <x:v>2022</x:v>
      </x:c>
      <x:c r="K322" t="str">
        <x:f>IF(F322&gt;200,"Large Order","Standard Order")</x:f>
        <x:v>Standard Order</x:v>
      </x:c>
    </x:row>
    <x:row r="323">
      <x:c r="A323" t="str">
        <x:v>Jan Morforth</x:v>
      </x:c>
      <x:c r="B323" t="str">
        <x:v>India</x:v>
      </x:c>
      <x:c r="C323" t="str">
        <x:v>85% Dark Bars</x:v>
      </x:c>
      <x:c r="D323" s="14" t="n">
        <x:v>44706</x:v>
      </x:c>
      <x:c r="E323" s="16" t="n">
        <x:v>4760</x:v>
      </x:c>
      <x:c r="F323" s="18" t="n">
        <x:v>418</x:v>
      </x:c>
      <x:c r="G323" s="20" t="n">
        <x:f>IFERROR(E323/F323,0)</x:f>
        <x:v>11.38755980861244</x:v>
      </x:c>
      <x:c r="H323" t="str">
        <x:f>TEXT(D323,"mmm")</x:f>
        <x:v>May</x:v>
      </x:c>
      <x:c r="I323" s="22" t="n">
        <x:f>MONTH(D323)</x:f>
        <x:v>5</x:v>
      </x:c>
      <x:c r="J323" s="22" t="n">
        <x:f>YEAR(D323)</x:f>
        <x:v>2022</x:v>
      </x:c>
      <x:c r="K323" t="str">
        <x:f>IF(F323&gt;200,"Large Order","Standard Order")</x:f>
        <x:v>Large Order</x:v>
      </x:c>
    </x:row>
    <x:row r="324">
      <x:c r="A324" t="str">
        <x:v>Marney O'Breen</x:v>
      </x:c>
      <x:c r="B324" t="str">
        <x:v>India</x:v>
      </x:c>
      <x:c r="C324" t="str">
        <x:v>Fruit &amp; Nut Bars</x:v>
      </x:c>
      <x:c r="D324" s="14" t="n">
        <x:v>44664</x:v>
      </x:c>
      <x:c r="E324" s="16" t="n">
        <x:v>4753</x:v>
      </x:c>
      <x:c r="F324" s="18" t="n">
        <x:v>151</x:v>
      </x:c>
      <x:c r="G324" s="20" t="n">
        <x:f>IFERROR(E324/F324,0)</x:f>
        <x:v>31.47682119205298</x:v>
      </x:c>
      <x:c r="H324" t="str">
        <x:f>TEXT(D324,"mmm")</x:f>
        <x:v>Apr</x:v>
      </x:c>
      <x:c r="I324" s="22" t="n">
        <x:f>MONTH(D324)</x:f>
        <x:v>4</x:v>
      </x:c>
      <x:c r="J324" s="22" t="n">
        <x:f>YEAR(D324)</x:f>
        <x:v>2022</x:v>
      </x:c>
      <x:c r="K324" t="str">
        <x:f>IF(F324&gt;200,"Large Order","Standard Order")</x:f>
        <x:v>Standard Order</x:v>
      </x:c>
    </x:row>
    <x:row r="325">
      <x:c r="A325" t="str">
        <x:v>Andria Kimpton</x:v>
      </x:c>
      <x:c r="B325" t="str">
        <x:v>New Zealand</x:v>
      </x:c>
      <x:c r="C325" t="str">
        <x:v>50% Dark Bites</x:v>
      </x:c>
      <x:c r="D325" s="14" t="n">
        <x:v>44622</x:v>
      </x:c>
      <x:c r="E325" s="16" t="n">
        <x:v>3374</x:v>
      </x:c>
      <x:c r="F325" s="18" t="n">
        <x:v>202</x:v>
      </x:c>
      <x:c r="G325" s="20" t="n">
        <x:f>IFERROR(E325/F325,0)</x:f>
        <x:v>16.702970297029704</x:v>
      </x:c>
      <x:c r="H325" t="str">
        <x:f>TEXT(D325,"mmm")</x:f>
        <x:v>Mar</x:v>
      </x:c>
      <x:c r="I325" s="22" t="n">
        <x:f>MONTH(D325)</x:f>
        <x:v>3</x:v>
      </x:c>
      <x:c r="J325" s="22" t="n">
        <x:f>YEAR(D325)</x:f>
        <x:v>2022</x:v>
      </x:c>
      <x:c r="K325" t="str">
        <x:f>IF(F325&gt;200,"Large Order","Standard Order")</x:f>
        <x:v>Large Order</x:v>
      </x:c>
    </x:row>
    <x:row r="326">
      <x:c r="A326" t="str">
        <x:v>Gunar Cockshoot</x:v>
      </x:c>
      <x:c r="B326" t="str">
        <x:v>Canada</x:v>
      </x:c>
      <x:c r="C326" t="str">
        <x:v>Raspberry Choco</x:v>
      </x:c>
      <x:c r="D326" s="14" t="n">
        <x:v>44735</x:v>
      </x:c>
      <x:c r="E326" s="16" t="n">
        <x:v>2058</x:v>
      </x:c>
      <x:c r="F326" s="18" t="n">
        <x:v>126</x:v>
      </x:c>
      <x:c r="G326" s="20" t="n">
        <x:f>IFERROR(E326/F326,0)</x:f>
        <x:v>16.333333333333332</x:v>
      </x:c>
      <x:c r="H326" t="str">
        <x:f>TEXT(D326,"mmm")</x:f>
        <x:v>Jun</x:v>
      </x:c>
      <x:c r="I326" s="22" t="n">
        <x:f>MONTH(D326)</x:f>
        <x:v>6</x:v>
      </x:c>
      <x:c r="J326" s="22" t="n">
        <x:f>YEAR(D326)</x:f>
        <x:v>2022</x:v>
      </x:c>
      <x:c r="K326" t="str">
        <x:f>IF(F326&gt;200,"Large Order","Standard Order")</x:f>
        <x:v>Standard Order</x:v>
      </x:c>
    </x:row>
    <x:row r="327">
      <x:c r="A327" t="str">
        <x:v>Kelci Walkden</x:v>
      </x:c>
      <x:c r="B327" t="str">
        <x:v>USA</x:v>
      </x:c>
      <x:c r="C327" t="str">
        <x:v>Drinking Coco</x:v>
      </x:c>
      <x:c r="D327" s="14" t="n">
        <x:v>44768</x:v>
      </x:c>
      <x:c r="E327" s="16" t="n">
        <x:v>6454</x:v>
      </x:c>
      <x:c r="F327" s="18" t="n">
        <x:v>160</x:v>
      </x:c>
      <x:c r="G327" s="20" t="n">
        <x:f>IFERROR(E327/F327,0)</x:f>
        <x:v>40.3375</x:v>
      </x:c>
      <x:c r="H327" t="str">
        <x:f>TEXT(D327,"mmm")</x:f>
        <x:v>Jul</x:v>
      </x:c>
      <x:c r="I327" s="22" t="n">
        <x:f>MONTH(D327)</x:f>
        <x:v>7</x:v>
      </x:c>
      <x:c r="J327" s="22" t="n">
        <x:f>YEAR(D327)</x:f>
        <x:v>2022</x:v>
      </x:c>
      <x:c r="K327" t="str">
        <x:f>IF(F327&gt;200,"Large Order","Standard Order")</x:f>
        <x:v>Standard Order</x:v>
      </x:c>
    </x:row>
    <x:row r="328">
      <x:c r="A328" t="str">
        <x:v>Van Tuxwell</x:v>
      </x:c>
      <x:c r="B328" t="str">
        <x:v>Canada</x:v>
      </x:c>
      <x:c r="C328" t="str">
        <x:v>White Choc</x:v>
      </x:c>
      <x:c r="D328" s="14" t="n">
        <x:v>44642</x:v>
      </x:c>
      <x:c r="E328" s="16" t="n">
        <x:v>420</x:v>
      </x:c>
      <x:c r="F328" s="18" t="n">
        <x:v>3</x:v>
      </x:c>
      <x:c r="G328" s="20" t="n">
        <x:f>IFERROR(E328/F328,0)</x:f>
        <x:v>140</x:v>
      </x:c>
      <x:c r="H328" t="str">
        <x:f>TEXT(D328,"mmm")</x:f>
        <x:v>Mar</x:v>
      </x:c>
      <x:c r="I328" s="22" t="n">
        <x:f>MONTH(D328)</x:f>
        <x:v>3</x:v>
      </x:c>
      <x:c r="J328" s="22" t="n">
        <x:f>YEAR(D328)</x:f>
        <x:v>2022</x:v>
      </x:c>
      <x:c r="K328" t="str">
        <x:f>IF(F328&gt;200,"Large Order","Standard Order")</x:f>
        <x:v>Standard Order</x:v>
      </x:c>
    </x:row>
    <x:row r="329">
      <x:c r="A329" t="str">
        <x:v>Rafaelita Blaksland</x:v>
      </x:c>
      <x:c r="B329" t="str">
        <x:v>USA</x:v>
      </x:c>
      <x:c r="C329" t="str">
        <x:v>Baker's Choco Chips</x:v>
      </x:c>
      <x:c r="D329" s="14" t="n">
        <x:v>44721</x:v>
      </x:c>
      <x:c r="E329" s="16" t="n">
        <x:v>2863</x:v>
      </x:c>
      <x:c r="F329" s="18" t="n">
        <x:v>58</x:v>
      </x:c>
      <x:c r="G329" s="20" t="n">
        <x:f>IFERROR(E329/F329,0)</x:f>
        <x:v>49.36206896551724</x:v>
      </x:c>
      <x:c r="H329" t="str">
        <x:f>TEXT(D329,"mmm")</x:f>
        <x:v>Jun</x:v>
      </x:c>
      <x:c r="I329" s="22" t="n">
        <x:f>MONTH(D329)</x:f>
        <x:v>6</x:v>
      </x:c>
      <x:c r="J329" s="22" t="n">
        <x:f>YEAR(D329)</x:f>
        <x:v>2022</x:v>
      </x:c>
      <x:c r="K329" t="str">
        <x:f>IF(F329&gt;200,"Large Order","Standard Order")</x:f>
        <x:v>Standard Order</x:v>
      </x:c>
    </x:row>
    <x:row r="330">
      <x:c r="A330" t="str">
        <x:v>Van Tuxwell</x:v>
      </x:c>
      <x:c r="B330" t="str">
        <x:v>Australia</x:v>
      </x:c>
      <x:c r="C330" t="str">
        <x:v>Caramel Stuffed Bars</x:v>
      </x:c>
      <x:c r="D330" s="14" t="n">
        <x:v>44698</x:v>
      </x:c>
      <x:c r="E330" s="16" t="n">
        <x:v>5936</x:v>
      </x:c>
      <x:c r="F330" s="18" t="n">
        <x:v>59</x:v>
      </x:c>
      <x:c r="G330" s="20" t="n">
        <x:f>IFERROR(E330/F330,0)</x:f>
        <x:v>100.61016949152543</x:v>
      </x:c>
      <x:c r="H330" t="str">
        <x:f>TEXT(D330,"mmm")</x:f>
        <x:v>May</x:v>
      </x:c>
      <x:c r="I330" s="22" t="n">
        <x:f>MONTH(D330)</x:f>
        <x:v>5</x:v>
      </x:c>
      <x:c r="J330" s="22" t="n">
        <x:f>YEAR(D330)</x:f>
        <x:v>2022</x:v>
      </x:c>
      <x:c r="K330" t="str">
        <x:f>IF(F330&gt;200,"Large Order","Standard Order")</x:f>
        <x:v>Standard Order</x:v>
      </x:c>
    </x:row>
    <x:row r="331">
      <x:c r="A331" t="str">
        <x:v>Ches Bonnell</x:v>
      </x:c>
      <x:c r="B331" t="str">
        <x:v>New Zealand</x:v>
      </x:c>
      <x:c r="C331" t="str">
        <x:v>Peanut Butter Cubes</x:v>
      </x:c>
      <x:c r="D331" s="14" t="n">
        <x:v>44624</x:v>
      </x:c>
      <x:c r="E331" s="16" t="n">
        <x:v>889</x:v>
      </x:c>
      <x:c r="F331" s="18" t="n">
        <x:v>273</x:v>
      </x:c>
      <x:c r="G331" s="20" t="n">
        <x:f>IFERROR(E331/F331,0)</x:f>
        <x:v>3.2564102564102564</x:v>
      </x:c>
      <x:c r="H331" t="str">
        <x:f>TEXT(D331,"mmm")</x:f>
        <x:v>Mar</x:v>
      </x:c>
      <x:c r="I331" s="22" t="n">
        <x:f>MONTH(D331)</x:f>
        <x:v>3</x:v>
      </x:c>
      <x:c r="J331" s="22" t="n">
        <x:f>YEAR(D331)</x:f>
        <x:v>2022</x:v>
      </x:c>
      <x:c r="K331" t="str">
        <x:f>IF(F331&gt;200,"Large Order","Standard Order")</x:f>
        <x:v>Large Order</x:v>
      </x:c>
    </x:row>
    <x:row r="332">
      <x:c r="A332" t="str">
        <x:v>Kelci Walkden</x:v>
      </x:c>
      <x:c r="B332" t="str">
        <x:v>Canada</x:v>
      </x:c>
      <x:c r="C332" t="str">
        <x:v>Milk Bars</x:v>
      </x:c>
      <x:c r="D332" s="14" t="n">
        <x:v>44749</x:v>
      </x:c>
      <x:c r="E332" s="16" t="n">
        <x:v>16016</x:v>
      </x:c>
      <x:c r="F332" s="18" t="n">
        <x:v>28</x:v>
      </x:c>
      <x:c r="G332" s="20" t="n">
        <x:f>IFERROR(E332/F332,0)</x:f>
        <x:v>572</x:v>
      </x:c>
      <x:c r="H332" t="str">
        <x:f>TEXT(D332,"mmm")</x:f>
        <x:v>Jul</x:v>
      </x:c>
      <x:c r="I332" s="22" t="n">
        <x:f>MONTH(D332)</x:f>
        <x:v>7</x:v>
      </x:c>
      <x:c r="J332" s="22" t="n">
        <x:f>YEAR(D332)</x:f>
        <x:v>2022</x:v>
      </x:c>
      <x:c r="K332" t="str">
        <x:f>IF(F332&gt;200,"Large Order","Standard Order")</x:f>
        <x:v>Standard Order</x:v>
      </x:c>
    </x:row>
    <x:row r="333">
      <x:c r="A333" t="str">
        <x:v>Dennison Crosswaite</x:v>
      </x:c>
      <x:c r="B333" t="str">
        <x:v>Canada</x:v>
      </x:c>
      <x:c r="C333" t="str">
        <x:v>Choco Coated Almonds</x:v>
      </x:c>
      <x:c r="D333" s="14" t="n">
        <x:v>44574</x:v>
      </x:c>
      <x:c r="E333" s="16" t="n">
        <x:v>10479</x:v>
      </x:c>
      <x:c r="F333" s="18" t="n">
        <x:v>118</x:v>
      </x:c>
      <x:c r="G333" s="20" t="n">
        <x:f>IFERROR(E333/F333,0)</x:f>
        <x:v>88.80508474576271</x:v>
      </x:c>
      <x:c r="H333" t="str">
        <x:f>TEXT(D333,"mmm")</x:f>
        <x:v>Jan</x:v>
      </x:c>
      <x:c r="I333" s="22" t="n">
        <x:f>MONTH(D333)</x:f>
        <x:v>1</x:v>
      </x:c>
      <x:c r="J333" s="22" t="n">
        <x:f>YEAR(D333)</x:f>
        <x:v>2022</x:v>
      </x:c>
      <x:c r="K333" t="str">
        <x:f>IF(F333&gt;200,"Large Order","Standard Order")</x:f>
        <x:v>Standard Order</x:v>
      </x:c>
    </x:row>
    <x:row r="334">
      <x:c r="A334" t="str">
        <x:v>Curtice Advani</x:v>
      </x:c>
      <x:c r="B334" t="str">
        <x:v>Australia</x:v>
      </x:c>
      <x:c r="C334" t="str">
        <x:v>Almond Choco</x:v>
      </x:c>
      <x:c r="D334" s="14" t="n">
        <x:v>44755</x:v>
      </x:c>
      <x:c r="E334" s="16" t="n">
        <x:v>2912</x:v>
      </x:c>
      <x:c r="F334" s="18" t="n">
        <x:v>75</x:v>
      </x:c>
      <x:c r="G334" s="20" t="n">
        <x:f>IFERROR(E334/F334,0)</x:f>
        <x:v>38.82666666666667</x:v>
      </x:c>
      <x:c r="H334" t="str">
        <x:f>TEXT(D334,"mmm")</x:f>
        <x:v>Jul</x:v>
      </x:c>
      <x:c r="I334" s="22" t="n">
        <x:f>MONTH(D334)</x:f>
        <x:v>7</x:v>
      </x:c>
      <x:c r="J334" s="22" t="n">
        <x:f>YEAR(D334)</x:f>
        <x:v>2022</x:v>
      </x:c>
      <x:c r="K334" t="str">
        <x:f>IF(F334&gt;200,"Large Order","Standard Order")</x:f>
        <x:v>Standard Order</x:v>
      </x:c>
    </x:row>
    <x:row r="335">
      <x:c r="A335" t="str">
        <x:v>Madelene Upcott</x:v>
      </x:c>
      <x:c r="B335" t="str">
        <x:v>Australia</x:v>
      </x:c>
      <x:c r="C335" t="str">
        <x:v>85% Dark Bars</x:v>
      </x:c>
      <x:c r="D335" s="14" t="n">
        <x:v>44728</x:v>
      </x:c>
      <x:c r="E335" s="16" t="n">
        <x:v>1575</x:v>
      </x:c>
      <x:c r="F335" s="18" t="n">
        <x:v>329</x:v>
      </x:c>
      <x:c r="G335" s="20" t="n">
        <x:f>IFERROR(E335/F335,0)</x:f>
        <x:v>4.787234042553192</x:v>
      </x:c>
      <x:c r="H335" t="str">
        <x:f>TEXT(D335,"mmm")</x:f>
        <x:v>Jun</x:v>
      </x:c>
      <x:c r="I335" s="22" t="n">
        <x:f>MONTH(D335)</x:f>
        <x:v>6</x:v>
      </x:c>
      <x:c r="J335" s="22" t="n">
        <x:f>YEAR(D335)</x:f>
        <x:v>2022</x:v>
      </x:c>
      <x:c r="K335" t="str">
        <x:f>IF(F335&gt;200,"Large Order","Standard Order")</x:f>
        <x:v>Large Order</x:v>
      </x:c>
    </x:row>
    <x:row r="336">
      <x:c r="A336" t="str">
        <x:v>Gigi Bohling</x:v>
      </x:c>
      <x:c r="B336" t="str">
        <x:v>UK</x:v>
      </x:c>
      <x:c r="C336" t="str">
        <x:v>50% Dark Bites</x:v>
      </x:c>
      <x:c r="D336" s="14" t="n">
        <x:v>44760</x:v>
      </x:c>
      <x:c r="E336" s="16" t="n">
        <x:v>8197</x:v>
      </x:c>
      <x:c r="F336" s="18" t="n">
        <x:v>69</x:v>
      </x:c>
      <x:c r="G336" s="20" t="n">
        <x:f>IFERROR(E336/F336,0)</x:f>
        <x:v>118.79710144927536</x:v>
      </x:c>
      <x:c r="H336" t="str">
        <x:f>TEXT(D336,"mmm")</x:f>
        <x:v>Jul</x:v>
      </x:c>
      <x:c r="I336" s="22" t="n">
        <x:f>MONTH(D336)</x:f>
        <x:v>7</x:v>
      </x:c>
      <x:c r="J336" s="22" t="n">
        <x:f>YEAR(D336)</x:f>
        <x:v>2022</x:v>
      </x:c>
      <x:c r="K336" t="str">
        <x:f>IF(F336&gt;200,"Large Order","Standard Order")</x:f>
        <x:v>Standard Order</x:v>
      </x:c>
    </x:row>
    <x:row r="337">
      <x:c r="A337" t="str">
        <x:v>Ches Bonnell</x:v>
      </x:c>
      <x:c r="B337" t="str">
        <x:v>UK</x:v>
      </x:c>
      <x:c r="C337" t="str">
        <x:v>Manuka Honey Choco</x:v>
      </x:c>
      <x:c r="D337" s="14" t="n">
        <x:v>44711</x:v>
      </x:c>
      <x:c r="E337" s="16" t="n">
        <x:v>4221</x:v>
      </x:c>
      <x:c r="F337" s="18" t="n">
        <x:v>395</x:v>
      </x:c>
      <x:c r="G337" s="20" t="n">
        <x:f>IFERROR(E337/F337,0)</x:f>
        <x:v>10.686075949367089</x:v>
      </x:c>
      <x:c r="H337" t="str">
        <x:f>TEXT(D337,"mmm")</x:f>
        <x:v>May</x:v>
      </x:c>
      <x:c r="I337" s="22" t="n">
        <x:f>MONTH(D337)</x:f>
        <x:v>5</x:v>
      </x:c>
      <x:c r="J337" s="22" t="n">
        <x:f>YEAR(D337)</x:f>
        <x:v>2022</x:v>
      </x:c>
      <x:c r="K337" t="str">
        <x:f>IF(F337&gt;200,"Large Order","Standard Order")</x:f>
        <x:v>Large Order</x:v>
      </x:c>
    </x:row>
    <x:row r="338">
      <x:c r="A338" t="str">
        <x:v>Gigi Bohling</x:v>
      </x:c>
      <x:c r="B338" t="str">
        <x:v>UK</x:v>
      </x:c>
      <x:c r="C338" t="str">
        <x:v>70% Dark Bites</x:v>
      </x:c>
      <x:c r="D338" s="14" t="n">
        <x:v>44733</x:v>
      </x:c>
      <x:c r="E338" s="16" t="n">
        <x:v>840</x:v>
      </x:c>
      <x:c r="F338" s="18" t="n">
        <x:v>81</x:v>
      </x:c>
      <x:c r="G338" s="20" t="n">
        <x:f>IFERROR(E338/F338,0)</x:f>
        <x:v>10.37037037037037</x:v>
      </x:c>
      <x:c r="H338" t="str">
        <x:f>TEXT(D338,"mmm")</x:f>
        <x:v>Jun</x:v>
      </x:c>
      <x:c r="I338" s="22" t="n">
        <x:f>MONTH(D338)</x:f>
        <x:v>6</x:v>
      </x:c>
      <x:c r="J338" s="22" t="n">
        <x:f>YEAR(D338)</x:f>
        <x:v>2022</x:v>
      </x:c>
      <x:c r="K338" t="str">
        <x:f>IF(F338&gt;200,"Large Order","Standard Order")</x:f>
        <x:v>Standard Order</x:v>
      </x:c>
    </x:row>
    <x:row r="339">
      <x:c r="A339" t="str">
        <x:v>Jehu Rudeforth</x:v>
      </x:c>
      <x:c r="B339" t="str">
        <x:v>Australia</x:v>
      </x:c>
      <x:c r="C339" t="str">
        <x:v>Peanut Butter Cubes</x:v>
      </x:c>
      <x:c r="D339" s="14" t="n">
        <x:v>44736</x:v>
      </x:c>
      <x:c r="E339" s="16" t="n">
        <x:v>5691</x:v>
      </x:c>
      <x:c r="F339" s="18" t="n">
        <x:v>38</x:v>
      </x:c>
      <x:c r="G339" s="20" t="n">
        <x:f>IFERROR(E339/F339,0)</x:f>
        <x:v>149.76315789473685</x:v>
      </x:c>
      <x:c r="H339" t="str">
        <x:f>TEXT(D339,"mmm")</x:f>
        <x:v>Jun</x:v>
      </x:c>
      <x:c r="I339" s="22" t="n">
        <x:f>MONTH(D339)</x:f>
        <x:v>6</x:v>
      </x:c>
      <x:c r="J339" s="22" t="n">
        <x:f>YEAR(D339)</x:f>
        <x:v>2022</x:v>
      </x:c>
      <x:c r="K339" t="str">
        <x:f>IF(F339&gt;200,"Large Order","Standard Order")</x:f>
        <x:v>Standard Order</x:v>
      </x:c>
    </x:row>
    <x:row r="340">
      <x:c r="A340" t="str">
        <x:v>Marney O'Breen</x:v>
      </x:c>
      <x:c r="B340" t="str">
        <x:v>India</x:v>
      </x:c>
      <x:c r="C340" t="str">
        <x:v>Eclairs</x:v>
      </x:c>
      <x:c r="D340" s="14" t="n">
        <x:v>44574</x:v>
      </x:c>
      <x:c r="E340" s="16" t="n">
        <x:v>3472</x:v>
      </x:c>
      <x:c r="F340" s="18" t="n">
        <x:v>96</x:v>
      </x:c>
      <x:c r="G340" s="20" t="n">
        <x:f>IFERROR(E340/F340,0)</x:f>
        <x:v>36.166666666666664</x:v>
      </x:c>
      <x:c r="H340" t="str">
        <x:f>TEXT(D340,"mmm")</x:f>
        <x:v>Jan</x:v>
      </x:c>
      <x:c r="I340" s="22" t="n">
        <x:f>MONTH(D340)</x:f>
        <x:v>1</x:v>
      </x:c>
      <x:c r="J340" s="22" t="n">
        <x:f>YEAR(D340)</x:f>
        <x:v>2022</x:v>
      </x:c>
      <x:c r="K340" t="str">
        <x:f>IF(F340&gt;200,"Large Order","Standard Order")</x:f>
        <x:v>Standard Order</x:v>
      </x:c>
    </x:row>
    <x:row r="341">
      <x:c r="A341" t="str">
        <x:v>Curtice Advani</x:v>
      </x:c>
      <x:c r="B341" t="str">
        <x:v>Canada</x:v>
      </x:c>
      <x:c r="C341" t="str">
        <x:v>Fruit &amp; Nut Bars</x:v>
      </x:c>
      <x:c r="D341" s="14" t="n">
        <x:v>44655</x:v>
      </x:c>
      <x:c r="E341" s="16" t="n">
        <x:v>4193</x:v>
      </x:c>
      <x:c r="F341" s="18" t="n">
        <x:v>195</x:v>
      </x:c>
      <x:c r="G341" s="20" t="n">
        <x:f>IFERROR(E341/F341,0)</x:f>
        <x:v>21.502564102564104</x:v>
      </x:c>
      <x:c r="H341" t="str">
        <x:f>TEXT(D341,"mmm")</x:f>
        <x:v>Apr</x:v>
      </x:c>
      <x:c r="I341" s="22" t="n">
        <x:f>MONTH(D341)</x:f>
        <x:v>4</x:v>
      </x:c>
      <x:c r="J341" s="22" t="n">
        <x:f>YEAR(D341)</x:f>
        <x:v>2022</x:v>
      </x:c>
      <x:c r="K341" t="str">
        <x:f>IF(F341&gt;200,"Large Order","Standard Order")</x:f>
        <x:v>Standard Order</x:v>
      </x:c>
    </x:row>
    <x:row r="342">
      <x:c r="A342" t="str">
        <x:v>Kaine Padly</x:v>
      </x:c>
      <x:c r="B342" t="str">
        <x:v>UK</x:v>
      </x:c>
      <x:c r="C342" t="str">
        <x:v>Smooth Silky Salty</x:v>
      </x:c>
      <x:c r="D342" s="14" t="n">
        <x:v>44720</x:v>
      </x:c>
      <x:c r="E342" s="16" t="n">
        <x:v>9016</x:v>
      </x:c>
      <x:c r="F342" s="18" t="n">
        <x:v>554</x:v>
      </x:c>
      <x:c r="G342" s="20" t="n">
        <x:f>IFERROR(E342/F342,0)</x:f>
        <x:v>16.27436823104693</x:v>
      </x:c>
      <x:c r="H342" t="str">
        <x:f>TEXT(D342,"mmm")</x:f>
        <x:v>Jun</x:v>
      </x:c>
      <x:c r="I342" s="22" t="n">
        <x:f>MONTH(D342)</x:f>
        <x:v>6</x:v>
      </x:c>
      <x:c r="J342" s="22" t="n">
        <x:f>YEAR(D342)</x:f>
        <x:v>2022</x:v>
      </x:c>
      <x:c r="K342" t="str">
        <x:f>IF(F342&gt;200,"Large Order","Standard Order")</x:f>
        <x:v>Large Order</x:v>
      </x:c>
    </x:row>
    <x:row r="343">
      <x:c r="A343" t="str">
        <x:v>Karlen McCaffrey</x:v>
      </x:c>
      <x:c r="B343" t="str">
        <x:v>Canada</x:v>
      </x:c>
      <x:c r="C343" t="str">
        <x:v>Spicy Special Slims</x:v>
      </x:c>
      <x:c r="D343" s="14" t="n">
        <x:v>44775</x:v>
      </x:c>
      <x:c r="E343" s="16" t="n">
        <x:v>6328</x:v>
      </x:c>
      <x:c r="F343" s="18" t="n">
        <x:v>47</x:v>
      </x:c>
      <x:c r="G343" s="20" t="n">
        <x:f>IFERROR(E343/F343,0)</x:f>
        <x:v>134.63829787234042</x:v>
      </x:c>
      <x:c r="H343" t="str">
        <x:f>TEXT(D343,"mmm")</x:f>
        <x:v>Aug</x:v>
      </x:c>
      <x:c r="I343" s="22" t="n">
        <x:f>MONTH(D343)</x:f>
        <x:v>8</x:v>
      </x:c>
      <x:c r="J343" s="22" t="n">
        <x:f>YEAR(D343)</x:f>
        <x:v>2022</x:v>
      </x:c>
      <x:c r="K343" t="str">
        <x:f>IF(F343&gt;200,"Large Order","Standard Order")</x:f>
        <x:v>Standard Order</x:v>
      </x:c>
    </x:row>
    <x:row r="344">
      <x:c r="A344" t="str">
        <x:v>Kelci Walkden</x:v>
      </x:c>
      <x:c r="B344" t="str">
        <x:v>USA</x:v>
      </x:c>
      <x:c r="C344" t="str">
        <x:v>Organic Choco Syrup</x:v>
      </x:c>
      <x:c r="D344" s="14" t="n">
        <x:v>44763</x:v>
      </x:c>
      <x:c r="E344" s="16" t="n">
        <x:v>9870</x:v>
      </x:c>
      <x:c r="F344" s="18" t="n">
        <x:v>152</x:v>
      </x:c>
      <x:c r="G344" s="20" t="n">
        <x:f>IFERROR(E344/F344,0)</x:f>
        <x:v>64.9342105263158</x:v>
      </x:c>
      <x:c r="H344" t="str">
        <x:f>TEXT(D344,"mmm")</x:f>
        <x:v>Jul</x:v>
      </x:c>
      <x:c r="I344" s="22" t="n">
        <x:f>MONTH(D344)</x:f>
        <x:v>7</x:v>
      </x:c>
      <x:c r="J344" s="22" t="n">
        <x:f>YEAR(D344)</x:f>
        <x:v>2022</x:v>
      </x:c>
      <x:c r="K344" t="str">
        <x:f>IF(F344&gt;200,"Large Order","Standard Order")</x:f>
        <x:v>Standard Order</x:v>
      </x:c>
    </x:row>
    <x:row r="345">
      <x:c r="A345" t="str">
        <x:v>Curtice Advani</x:v>
      </x:c>
      <x:c r="B345" t="str">
        <x:v>India</x:v>
      </x:c>
      <x:c r="C345" t="str">
        <x:v>Spicy Special Slims</x:v>
      </x:c>
      <x:c r="D345" s="14" t="n">
        <x:v>44732</x:v>
      </x:c>
      <x:c r="E345" s="16" t="n">
        <x:v>161</x:v>
      </x:c>
      <x:c r="F345" s="18" t="n">
        <x:v>134</x:v>
      </x:c>
      <x:c r="G345" s="20" t="n">
        <x:f>IFERROR(E345/F345,0)</x:f>
        <x:v>1.2014925373134329</x:v>
      </x:c>
      <x:c r="H345" t="str">
        <x:f>TEXT(D345,"mmm")</x:f>
        <x:v>Jun</x:v>
      </x:c>
      <x:c r="I345" s="22" t="n">
        <x:f>MONTH(D345)</x:f>
        <x:v>6</x:v>
      </x:c>
      <x:c r="J345" s="22" t="n">
        <x:f>YEAR(D345)</x:f>
        <x:v>2022</x:v>
      </x:c>
      <x:c r="K345" t="str">
        <x:f>IF(F345&gt;200,"Large Order","Standard Order")</x:f>
        <x:v>Standard Order</x:v>
      </x:c>
    </x:row>
    <x:row r="346">
      <x:c r="A346" t="str">
        <x:v>Roddy Speechley</x:v>
      </x:c>
      <x:c r="B346" t="str">
        <x:v>India</x:v>
      </x:c>
      <x:c r="C346" t="str">
        <x:v>After Nines</x:v>
      </x:c>
      <x:c r="D346" s="14" t="n">
        <x:v>44734</x:v>
      </x:c>
      <x:c r="E346" s="16" t="n">
        <x:v>2576</x:v>
      </x:c>
      <x:c r="F346" s="18" t="n">
        <x:v>112</x:v>
      </x:c>
      <x:c r="G346" s="20" t="n">
        <x:f>IFERROR(E346/F346,0)</x:f>
        <x:v>23</x:v>
      </x:c>
      <x:c r="H346" t="str">
        <x:f>TEXT(D346,"mmm")</x:f>
        <x:v>Jun</x:v>
      </x:c>
      <x:c r="I346" s="22" t="n">
        <x:f>MONTH(D346)</x:f>
        <x:v>6</x:v>
      </x:c>
      <x:c r="J346" s="22" t="n">
        <x:f>YEAR(D346)</x:f>
        <x:v>2022</x:v>
      </x:c>
      <x:c r="K346" t="str">
        <x:f>IF(F346&gt;200,"Large Order","Standard Order")</x:f>
        <x:v>Standard Order</x:v>
      </x:c>
    </x:row>
    <x:row r="347">
      <x:c r="A347" t="str">
        <x:v>Camilla Castle</x:v>
      </x:c>
      <x:c r="B347" t="str">
        <x:v>Australia</x:v>
      </x:c>
      <x:c r="C347" t="str">
        <x:v>Caramel Stuffed Bars</x:v>
      </x:c>
      <x:c r="D347" s="14" t="n">
        <x:v>44683</x:v>
      </x:c>
      <x:c r="E347" s="16" t="n">
        <x:v>3178</x:v>
      </x:c>
      <x:c r="F347" s="18" t="n">
        <x:v>16</x:v>
      </x:c>
      <x:c r="G347" s="20" t="n">
        <x:f>IFERROR(E347/F347,0)</x:f>
        <x:v>198.625</x:v>
      </x:c>
      <x:c r="H347" t="str">
        <x:f>TEXT(D347,"mmm")</x:f>
        <x:v>May</x:v>
      </x:c>
      <x:c r="I347" s="22" t="n">
        <x:f>MONTH(D347)</x:f>
        <x:v>5</x:v>
      </x:c>
      <x:c r="J347" s="22" t="n">
        <x:f>YEAR(D347)</x:f>
        <x:v>2022</x:v>
      </x:c>
      <x:c r="K347" t="str">
        <x:f>IF(F347&gt;200,"Large Order","Standard Order")</x:f>
        <x:v>Standard Order</x:v>
      </x:c>
    </x:row>
    <x:row r="348">
      <x:c r="A348" t="str">
        <x:v>Curtice Advani</x:v>
      </x:c>
      <x:c r="B348" t="str">
        <x:v>Australia</x:v>
      </x:c>
      <x:c r="C348" t="str">
        <x:v>99% Dark &amp; Pure</x:v>
      </x:c>
      <x:c r="D348" s="14" t="n">
        <x:v>44568</x:v>
      </x:c>
      <x:c r="E348" s="16" t="n">
        <x:v>4676</x:v>
      </x:c>
      <x:c r="F348" s="18" t="n">
        <x:v>84</x:v>
      </x:c>
      <x:c r="G348" s="20" t="n">
        <x:f>IFERROR(E348/F348,0)</x:f>
        <x:v>55.666666666666664</x:v>
      </x:c>
      <x:c r="H348" t="str">
        <x:f>TEXT(D348,"mmm")</x:f>
        <x:v>Jan</x:v>
      </x:c>
      <x:c r="I348" s="22" t="n">
        <x:f>MONTH(D348)</x:f>
        <x:v>1</x:v>
      </x:c>
      <x:c r="J348" s="22" t="n">
        <x:f>YEAR(D348)</x:f>
        <x:v>2022</x:v>
      </x:c>
      <x:c r="K348" t="str">
        <x:f>IF(F348&gt;200,"Large Order","Standard Order")</x:f>
        <x:v>Standard Order</x:v>
      </x:c>
    </x:row>
    <x:row r="349">
      <x:c r="A349" t="str">
        <x:v>Mallorie Waber</x:v>
      </x:c>
      <x:c r="B349" t="str">
        <x:v>UK</x:v>
      </x:c>
      <x:c r="C349" t="str">
        <x:v>50% Dark Bites</x:v>
      </x:c>
      <x:c r="D349" s="14" t="n">
        <x:v>44613</x:v>
      </x:c>
      <x:c r="E349" s="16" t="n">
        <x:v>5502</x:v>
      </x:c>
      <x:c r="F349" s="18" t="n">
        <x:v>99</x:v>
      </x:c>
      <x:c r="G349" s="20" t="n">
        <x:f>IFERROR(E349/F349,0)</x:f>
        <x:v>55.57575757575758</x:v>
      </x:c>
      <x:c r="H349" t="str">
        <x:f>TEXT(D349,"mmm")</x:f>
        <x:v>Feb</x:v>
      </x:c>
      <x:c r="I349" s="22" t="n">
        <x:f>MONTH(D349)</x:f>
        <x:v>2</x:v>
      </x:c>
      <x:c r="J349" s="22" t="n">
        <x:f>YEAR(D349)</x:f>
        <x:v>2022</x:v>
      </x:c>
      <x:c r="K349" t="str">
        <x:f>IF(F349&gt;200,"Large Order","Standard Order")</x:f>
        <x:v>Standard Order</x:v>
      </x:c>
    </x:row>
    <x:row r="350">
      <x:c r="A350" t="str">
        <x:v>Ches Bonnell</x:v>
      </x:c>
      <x:c r="B350" t="str">
        <x:v>Canada</x:v>
      </x:c>
      <x:c r="C350" t="str">
        <x:v>Baker's Choco Chips</x:v>
      </x:c>
      <x:c r="D350" s="14" t="n">
        <x:v>44641</x:v>
      </x:c>
      <x:c r="E350" s="16" t="n">
        <x:v>7462</x:v>
      </x:c>
      <x:c r="F350" s="18" t="n">
        <x:v>371</x:v>
      </x:c>
      <x:c r="G350" s="20" t="n">
        <x:f>IFERROR(E350/F350,0)</x:f>
        <x:v>20.11320754716981</x:v>
      </x:c>
      <x:c r="H350" t="str">
        <x:f>TEXT(D350,"mmm")</x:f>
        <x:v>Mar</x:v>
      </x:c>
      <x:c r="I350" s="22" t="n">
        <x:f>MONTH(D350)</x:f>
        <x:v>3</x:v>
      </x:c>
      <x:c r="J350" s="22" t="n">
        <x:f>YEAR(D350)</x:f>
        <x:v>2022</x:v>
      </x:c>
      <x:c r="K350" t="str">
        <x:f>IF(F350&gt;200,"Large Order","Standard Order")</x:f>
        <x:v>Large Order</x:v>
      </x:c>
    </x:row>
    <x:row r="351">
      <x:c r="A351" t="str">
        <x:v>Van Tuxwell</x:v>
      </x:c>
      <x:c r="B351" t="str">
        <x:v>UK</x:v>
      </x:c>
      <x:c r="C351" t="str">
        <x:v>Drinking Coco</x:v>
      </x:c>
      <x:c r="D351" s="14" t="n">
        <x:v>44655</x:v>
      </x:c>
      <x:c r="E351" s="16" t="n">
        <x:v>5803</x:v>
      </x:c>
      <x:c r="F351" s="18" t="n">
        <x:v>136</x:v>
      </x:c>
      <x:c r="G351" s="20" t="n">
        <x:f>IFERROR(E351/F351,0)</x:f>
        <x:v>42.669117647058826</x:v>
      </x:c>
      <x:c r="H351" t="str">
        <x:f>TEXT(D351,"mmm")</x:f>
        <x:v>Apr</x:v>
      </x:c>
      <x:c r="I351" s="22" t="n">
        <x:f>MONTH(D351)</x:f>
        <x:v>4</x:v>
      </x:c>
      <x:c r="J351" s="22" t="n">
        <x:f>YEAR(D351)</x:f>
        <x:v>2022</x:v>
      </x:c>
      <x:c r="K351" t="str">
        <x:f>IF(F351&gt;200,"Large Order","Standard Order")</x:f>
        <x:v>Standard Order</x:v>
      </x:c>
    </x:row>
    <x:row r="352">
      <x:c r="A352" t="str">
        <x:v>Gunar Cockshoot</x:v>
      </x:c>
      <x:c r="B352" t="str">
        <x:v>Canada</x:v>
      </x:c>
      <x:c r="C352" t="str">
        <x:v>Fruit &amp; Nut Bars</x:v>
      </x:c>
      <x:c r="D352" s="14" t="n">
        <x:v>44644</x:v>
      </x:c>
      <x:c r="E352" s="16" t="n">
        <x:v>13888</x:v>
      </x:c>
      <x:c r="F352" s="18" t="n">
        <x:v>203</x:v>
      </x:c>
      <x:c r="G352" s="20" t="n">
        <x:f>IFERROR(E352/F352,0)</x:f>
        <x:v>68.41379310344827</x:v>
      </x:c>
      <x:c r="H352" t="str">
        <x:f>TEXT(D352,"mmm")</x:f>
        <x:v>Mar</x:v>
      </x:c>
      <x:c r="I352" s="22" t="n">
        <x:f>MONTH(D352)</x:f>
        <x:v>3</x:v>
      </x:c>
      <x:c r="J352" s="22" t="n">
        <x:f>YEAR(D352)</x:f>
        <x:v>2022</x:v>
      </x:c>
      <x:c r="K352" t="str">
        <x:f>IF(F352&gt;200,"Large Order","Standard Order")</x:f>
        <x:v>Large Order</x:v>
      </x:c>
    </x:row>
    <x:row r="353">
      <x:c r="A353" t="str">
        <x:v>Gunar Cockshoot</x:v>
      </x:c>
      <x:c r="B353" t="str">
        <x:v>New Zealand</x:v>
      </x:c>
      <x:c r="C353" t="str">
        <x:v>Spicy Special Slims</x:v>
      </x:c>
      <x:c r="D353" s="14" t="n">
        <x:v>44740</x:v>
      </x:c>
      <x:c r="E353" s="16" t="n">
        <x:v>6867</x:v>
      </x:c>
      <x:c r="F353" s="18" t="n">
        <x:v>183</x:v>
      </x:c>
      <x:c r="G353" s="20" t="n">
        <x:f>IFERROR(E353/F353,0)</x:f>
        <x:v>37.52459016393443</x:v>
      </x:c>
      <x:c r="H353" t="str">
        <x:f>TEXT(D353,"mmm")</x:f>
        <x:v>Jun</x:v>
      </x:c>
      <x:c r="I353" s="22" t="n">
        <x:f>MONTH(D353)</x:f>
        <x:v>6</x:v>
      </x:c>
      <x:c r="J353" s="22" t="n">
        <x:f>YEAR(D353)</x:f>
        <x:v>2022</x:v>
      </x:c>
      <x:c r="K353" t="str">
        <x:f>IF(F353&gt;200,"Large Order","Standard Order")</x:f>
        <x:v>Standard Order</x:v>
      </x:c>
    </x:row>
    <x:row r="354">
      <x:c r="A354" t="str">
        <x:v>Gunar Cockshoot</x:v>
      </x:c>
      <x:c r="B354" t="str">
        <x:v>Australia</x:v>
      </x:c>
      <x:c r="C354" t="str">
        <x:v>Drinking Coco</x:v>
      </x:c>
      <x:c r="D354" s="14" t="n">
        <x:v>44575</x:v>
      </x:c>
      <x:c r="E354" s="16" t="n">
        <x:v>2317</x:v>
      </x:c>
      <x:c r="F354" s="18" t="n">
        <x:v>195</x:v>
      </x:c>
      <x:c r="G354" s="20" t="n">
        <x:f>IFERROR(E354/F354,0)</x:f>
        <x:v>11.882051282051282</x:v>
      </x:c>
      <x:c r="H354" t="str">
        <x:f>TEXT(D354,"mmm")</x:f>
        <x:v>Jan</x:v>
      </x:c>
      <x:c r="I354" s="22" t="n">
        <x:f>MONTH(D354)</x:f>
        <x:v>1</x:v>
      </x:c>
      <x:c r="J354" s="22" t="n">
        <x:f>YEAR(D354)</x:f>
        <x:v>2022</x:v>
      </x:c>
      <x:c r="K354" t="str">
        <x:f>IF(F354&gt;200,"Large Order","Standard Order")</x:f>
        <x:v>Standard Order</x:v>
      </x:c>
    </x:row>
    <x:row r="355">
      <x:c r="A355" t="str">
        <x:v>Karlen McCaffrey</x:v>
      </x:c>
      <x:c r="B355" t="str">
        <x:v>New Zealand</x:v>
      </x:c>
      <x:c r="C355" t="str">
        <x:v>Fruit &amp; Nut Bars</x:v>
      </x:c>
      <x:c r="D355" s="14" t="n">
        <x:v>44599</x:v>
      </x:c>
      <x:c r="E355" s="16" t="n">
        <x:v>1218</x:v>
      </x:c>
      <x:c r="F355" s="18" t="n">
        <x:v>135</x:v>
      </x:c>
      <x:c r="G355" s="20" t="n">
        <x:f>IFERROR(E355/F355,0)</x:f>
        <x:v>9.022222222222222</x:v>
      </x:c>
      <x:c r="H355" t="str">
        <x:f>TEXT(D355,"mmm")</x:f>
        <x:v>Feb</x:v>
      </x:c>
      <x:c r="I355" s="22" t="n">
        <x:f>MONTH(D355)</x:f>
        <x:v>2</x:v>
      </x:c>
      <x:c r="J355" s="22" t="n">
        <x:f>YEAR(D355)</x:f>
        <x:v>2022</x:v>
      </x:c>
      <x:c r="K355" t="str">
        <x:f>IF(F355&gt;200,"Large Order","Standard Order")</x:f>
        <x:v>Standard Order</x:v>
      </x:c>
    </x:row>
    <x:row r="356">
      <x:c r="A356" t="str">
        <x:v>Dennison Crosswaite</x:v>
      </x:c>
      <x:c r="B356" t="str">
        <x:v>New Zealand</x:v>
      </x:c>
      <x:c r="C356" t="str">
        <x:v>Drinking Coco</x:v>
      </x:c>
      <x:c r="D356" s="14" t="n">
        <x:v>44572</x:v>
      </x:c>
      <x:c r="E356" s="16" t="n">
        <x:v>4109</x:v>
      </x:c>
      <x:c r="F356" s="18" t="n">
        <x:v>197</x:v>
      </x:c>
      <x:c r="G356" s="20" t="n">
        <x:f>IFERROR(E356/F356,0)</x:f>
        <x:v>20.85786802030457</x:v>
      </x:c>
      <x:c r="H356" t="str">
        <x:f>TEXT(D356,"mmm")</x:f>
        <x:v>Jan</x:v>
      </x:c>
      <x:c r="I356" s="22" t="n">
        <x:f>MONTH(D356)</x:f>
        <x:v>1</x:v>
      </x:c>
      <x:c r="J356" s="22" t="n">
        <x:f>YEAR(D356)</x:f>
        <x:v>2022</x:v>
      </x:c>
      <x:c r="K356" t="str">
        <x:f>IF(F356&gt;200,"Large Order","Standard Order")</x:f>
        <x:v>Standard Order</x:v>
      </x:c>
    </x:row>
    <x:row r="357">
      <x:c r="A357" t="str">
        <x:v>Jehu Rudeforth</x:v>
      </x:c>
      <x:c r="B357" t="str">
        <x:v>India</x:v>
      </x:c>
      <x:c r="C357" t="str">
        <x:v>99% Dark &amp; Pure</x:v>
      </x:c>
      <x:c r="D357" s="14" t="n">
        <x:v>44617</x:v>
      </x:c>
      <x:c r="E357" s="16" t="n">
        <x:v>1953</x:v>
      </x:c>
      <x:c r="F357" s="18" t="n">
        <x:v>242</x:v>
      </x:c>
      <x:c r="G357" s="20" t="n">
        <x:f>IFERROR(E357/F357,0)</x:f>
        <x:v>8.070247933884298</x:v>
      </x:c>
      <x:c r="H357" t="str">
        <x:f>TEXT(D357,"mmm")</x:f>
        <x:v>Feb</x:v>
      </x:c>
      <x:c r="I357" s="22" t="n">
        <x:f>MONTH(D357)</x:f>
        <x:v>2</x:v>
      </x:c>
      <x:c r="J357" s="22" t="n">
        <x:f>YEAR(D357)</x:f>
        <x:v>2022</x:v>
      </x:c>
      <x:c r="K357" t="str">
        <x:f>IF(F357&gt;200,"Large Order","Standard Order")</x:f>
        <x:v>Large Order</x:v>
      </x:c>
    </x:row>
    <x:row r="358">
      <x:c r="A358" t="str">
        <x:v>Dotty Strutley</x:v>
      </x:c>
      <x:c r="B358" t="str">
        <x:v>Australia</x:v>
      </x:c>
      <x:c r="C358" t="str">
        <x:v>Mint Chip Choco</x:v>
      </x:c>
      <x:c r="D358" s="14" t="n">
        <x:v>44774</x:v>
      </x:c>
      <x:c r="E358" s="16" t="n">
        <x:v>6790</x:v>
      </x:c>
      <x:c r="F358" s="18" t="n">
        <x:v>25</x:v>
      </x:c>
      <x:c r="G358" s="20" t="n">
        <x:f>IFERROR(E358/F358,0)</x:f>
        <x:v>271.6</x:v>
      </x:c>
      <x:c r="H358" t="str">
        <x:f>TEXT(D358,"mmm")</x:f>
        <x:v>Aug</x:v>
      </x:c>
      <x:c r="I358" s="22" t="n">
        <x:f>MONTH(D358)</x:f>
        <x:v>8</x:v>
      </x:c>
      <x:c r="J358" s="22" t="n">
        <x:f>YEAR(D358)</x:f>
        <x:v>2022</x:v>
      </x:c>
      <x:c r="K358" t="str">
        <x:f>IF(F358&gt;200,"Large Order","Standard Order")</x:f>
        <x:v>Standard Order</x:v>
      </x:c>
    </x:row>
    <x:row r="359">
      <x:c r="A359" t="str">
        <x:v>Roddy Speechley</x:v>
      </x:c>
      <x:c r="B359" t="str">
        <x:v>Australia</x:v>
      </x:c>
      <x:c r="C359" t="str">
        <x:v>Mint Chip Choco</x:v>
      </x:c>
      <x:c r="D359" s="14" t="n">
        <x:v>44686</x:v>
      </x:c>
      <x:c r="E359" s="16" t="n">
        <x:v>6797</x:v>
      </x:c>
      <x:c r="F359" s="18" t="n">
        <x:v>252</x:v>
      </x:c>
      <x:c r="G359" s="20" t="n">
        <x:f>IFERROR(E359/F359,0)</x:f>
        <x:v>26.97222222222222</x:v>
      </x:c>
      <x:c r="H359" t="str">
        <x:f>TEXT(D359,"mmm")</x:f>
        <x:v>May</x:v>
      </x:c>
      <x:c r="I359" s="22" t="n">
        <x:f>MONTH(D359)</x:f>
        <x:v>5</x:v>
      </x:c>
      <x:c r="J359" s="22" t="n">
        <x:f>YEAR(D359)</x:f>
        <x:v>2022</x:v>
      </x:c>
      <x:c r="K359" t="str">
        <x:f>IF(F359&gt;200,"Large Order","Standard Order")</x:f>
        <x:v>Large Order</x:v>
      </x:c>
    </x:row>
    <x:row r="360">
      <x:c r="A360" t="str">
        <x:v>Madelene Upcott</x:v>
      </x:c>
      <x:c r="B360" t="str">
        <x:v>New Zealand</x:v>
      </x:c>
      <x:c r="C360" t="str">
        <x:v>Raspberry Choco</x:v>
      </x:c>
      <x:c r="D360" s="14" t="n">
        <x:v>44699</x:v>
      </x:c>
      <x:c r="E360" s="16" t="n">
        <x:v>9226</x:v>
      </x:c>
      <x:c r="F360" s="18" t="n">
        <x:v>415</x:v>
      </x:c>
      <x:c r="G360" s="20" t="n">
        <x:f>IFERROR(E360/F360,0)</x:f>
        <x:v>22.23132530120482</x:v>
      </x:c>
      <x:c r="H360" t="str">
        <x:f>TEXT(D360,"mmm")</x:f>
        <x:v>May</x:v>
      </x:c>
      <x:c r="I360" s="22" t="n">
        <x:f>MONTH(D360)</x:f>
        <x:v>5</x:v>
      </x:c>
      <x:c r="J360" s="22" t="n">
        <x:f>YEAR(D360)</x:f>
        <x:v>2022</x:v>
      </x:c>
      <x:c r="K360" t="str">
        <x:f>IF(F360&gt;200,"Large Order","Standard Order")</x:f>
        <x:v>Large Order</x:v>
      </x:c>
    </x:row>
    <x:row r="361">
      <x:c r="A361" t="str">
        <x:v>Dotty Strutley</x:v>
      </x:c>
      <x:c r="B361" t="str">
        <x:v>New Zealand</x:v>
      </x:c>
      <x:c r="C361" t="str">
        <x:v>Choco Coated Almonds</x:v>
      </x:c>
      <x:c r="D361" s="14" t="n">
        <x:v>44565</x:v>
      </x:c>
      <x:c r="E361" s="16" t="n">
        <x:v>5733</x:v>
      </x:c>
      <x:c r="F361" s="18" t="n">
        <x:v>348</x:v>
      </x:c>
      <x:c r="G361" s="20" t="n">
        <x:f>IFERROR(E361/F361,0)</x:f>
        <x:v>16.474137931034484</x:v>
      </x:c>
      <x:c r="H361" t="str">
        <x:f>TEXT(D361,"mmm")</x:f>
        <x:v>Jan</x:v>
      </x:c>
      <x:c r="I361" s="22" t="n">
        <x:f>MONTH(D361)</x:f>
        <x:v>1</x:v>
      </x:c>
      <x:c r="J361" s="22" t="n">
        <x:f>YEAR(D361)</x:f>
        <x:v>2022</x:v>
      </x:c>
      <x:c r="K361" t="str">
        <x:f>IF(F361&gt;200,"Large Order","Standard Order")</x:f>
        <x:v>Large Order</x:v>
      </x:c>
    </x:row>
    <x:row r="362">
      <x:c r="A362" t="str">
        <x:v>Roddy Speechley</x:v>
      </x:c>
      <x:c r="B362" t="str">
        <x:v>New Zealand</x:v>
      </x:c>
      <x:c r="C362" t="str">
        <x:v>50% Dark Bites</x:v>
      </x:c>
      <x:c r="D362" s="14" t="n">
        <x:v>44690</x:v>
      </x:c>
      <x:c r="E362" s="16" t="n">
        <x:v>4312</x:v>
      </x:c>
      <x:c r="F362" s="18" t="n">
        <x:v>211</x:v>
      </x:c>
      <x:c r="G362" s="20" t="n">
        <x:f>IFERROR(E362/F362,0)</x:f>
        <x:v>20.436018957345972</x:v>
      </x:c>
      <x:c r="H362" t="str">
        <x:f>TEXT(D362,"mmm")</x:f>
        <x:v>May</x:v>
      </x:c>
      <x:c r="I362" s="22" t="n">
        <x:f>MONTH(D362)</x:f>
        <x:v>5</x:v>
      </x:c>
      <x:c r="J362" s="22" t="n">
        <x:f>YEAR(D362)</x:f>
        <x:v>2022</x:v>
      </x:c>
      <x:c r="K362" t="str">
        <x:f>IF(F362&gt;200,"Large Order","Standard Order")</x:f>
        <x:v>Large Order</x:v>
      </x:c>
    </x:row>
    <x:row r="363">
      <x:c r="A363" t="str">
        <x:v>Rafaelita Blaksland</x:v>
      </x:c>
      <x:c r="B363" t="str">
        <x:v>India</x:v>
      </x:c>
      <x:c r="C363" t="str">
        <x:v>Smooth Silky Salty</x:v>
      </x:c>
      <x:c r="D363" s="14" t="n">
        <x:v>44687</x:v>
      </x:c>
      <x:c r="E363" s="16" t="n">
        <x:v>1638</x:v>
      </x:c>
      <x:c r="F363" s="18" t="n">
        <x:v>81</x:v>
      </x:c>
      <x:c r="G363" s="20" t="n">
        <x:f>IFERROR(E363/F363,0)</x:f>
        <x:v>20.22222222222222</x:v>
      </x:c>
      <x:c r="H363" t="str">
        <x:f>TEXT(D363,"mmm")</x:f>
        <x:v>May</x:v>
      </x:c>
      <x:c r="I363" s="22" t="n">
        <x:f>MONTH(D363)</x:f>
        <x:v>5</x:v>
      </x:c>
      <x:c r="J363" s="22" t="n">
        <x:f>YEAR(D363)</x:f>
        <x:v>2022</x:v>
      </x:c>
      <x:c r="K363" t="str">
        <x:f>IF(F363&gt;200,"Large Order","Standard Order")</x:f>
        <x:v>Standard Order</x:v>
      </x:c>
    </x:row>
    <x:row r="364">
      <x:c r="A364" t="str">
        <x:v>Husein Augar</x:v>
      </x:c>
      <x:c r="B364" t="str">
        <x:v>UK</x:v>
      </x:c>
      <x:c r="C364" t="str">
        <x:v>White Choc</x:v>
      </x:c>
      <x:c r="D364" s="14" t="n">
        <x:v>44574</x:v>
      </x:c>
      <x:c r="E364" s="16" t="n">
        <x:v>10815</x:v>
      </x:c>
      <x:c r="F364" s="18" t="n">
        <x:v>145</x:v>
      </x:c>
      <x:c r="G364" s="20" t="n">
        <x:f>IFERROR(E364/F364,0)</x:f>
        <x:v>74.58620689655173</x:v>
      </x:c>
      <x:c r="H364" t="str">
        <x:f>TEXT(D364,"mmm")</x:f>
        <x:v>Jan</x:v>
      </x:c>
      <x:c r="I364" s="22" t="n">
        <x:f>MONTH(D364)</x:f>
        <x:v>1</x:v>
      </x:c>
      <x:c r="J364" s="22" t="n">
        <x:f>YEAR(D364)</x:f>
        <x:v>2022</x:v>
      </x:c>
      <x:c r="K364" t="str">
        <x:f>IF(F364&gt;200,"Large Order","Standard Order")</x:f>
        <x:v>Standard Order</x:v>
      </x:c>
    </x:row>
    <x:row r="365">
      <x:c r="A365" t="str">
        <x:v>Roddy Speechley</x:v>
      </x:c>
      <x:c r="B365" t="str">
        <x:v>Australia</x:v>
      </x:c>
      <x:c r="C365" t="str">
        <x:v>Almond Choco</x:v>
      </x:c>
      <x:c r="D365" s="14" t="n">
        <x:v>44736</x:v>
      </x:c>
      <x:c r="E365" s="16" t="n">
        <x:v>4466</x:v>
      </x:c>
      <x:c r="F365" s="18" t="n">
        <x:v>74</x:v>
      </x:c>
      <x:c r="G365" s="20" t="n">
        <x:f>IFERROR(E365/F365,0)</x:f>
        <x:v>60.351351351351354</x:v>
      </x:c>
      <x:c r="H365" t="str">
        <x:f>TEXT(D365,"mmm")</x:f>
        <x:v>Jun</x:v>
      </x:c>
      <x:c r="I365" s="22" t="n">
        <x:f>MONTH(D365)</x:f>
        <x:v>6</x:v>
      </x:c>
      <x:c r="J365" s="22" t="n">
        <x:f>YEAR(D365)</x:f>
        <x:v>2022</x:v>
      </x:c>
      <x:c r="K365" t="str">
        <x:f>IF(F365&gt;200,"Large Order","Standard Order")</x:f>
        <x:v>Standard Order</x:v>
      </x:c>
    </x:row>
    <x:row r="366">
      <x:c r="A366" t="str">
        <x:v>Van Tuxwell</x:v>
      </x:c>
      <x:c r="B366" t="str">
        <x:v>USA</x:v>
      </x:c>
      <x:c r="C366" t="str">
        <x:v>Caramel Stuffed Bars</x:v>
      </x:c>
      <x:c r="D366" s="14" t="n">
        <x:v>44606</x:v>
      </x:c>
      <x:c r="E366" s="16" t="n">
        <x:v>987</x:v>
      </x:c>
      <x:c r="F366" s="18" t="n">
        <x:v>21</x:v>
      </x:c>
      <x:c r="G366" s="20" t="n">
        <x:f>IFERROR(E366/F366,0)</x:f>
        <x:v>47</x:v>
      </x:c>
      <x:c r="H366" t="str">
        <x:f>TEXT(D366,"mmm")</x:f>
        <x:v>Feb</x:v>
      </x:c>
      <x:c r="I366" s="22" t="n">
        <x:f>MONTH(D366)</x:f>
        <x:v>2</x:v>
      </x:c>
      <x:c r="J366" s="22" t="n">
        <x:f>YEAR(D366)</x:f>
        <x:v>2022</x:v>
      </x:c>
      <x:c r="K366" t="str">
        <x:f>IF(F366&gt;200,"Large Order","Standard Order")</x:f>
        <x:v>Standard Order</x:v>
      </x:c>
    </x:row>
    <x:row r="367">
      <x:c r="A367" t="str">
        <x:v>Camilla Castle</x:v>
      </x:c>
      <x:c r="B367" t="str">
        <x:v>Australia</x:v>
      </x:c>
      <x:c r="C367" t="str">
        <x:v>99% Dark &amp; Pure</x:v>
      </x:c>
      <x:c r="D367" s="14" t="n">
        <x:v>44579</x:v>
      </x:c>
      <x:c r="E367" s="16" t="n">
        <x:v>4669</x:v>
      </x:c>
      <x:c r="F367" s="18" t="n">
        <x:v>101</x:v>
      </x:c>
      <x:c r="G367" s="20" t="n">
        <x:f>IFERROR(E367/F367,0)</x:f>
        <x:v>46.227722772277225</x:v>
      </x:c>
      <x:c r="H367" t="str">
        <x:f>TEXT(D367,"mmm")</x:f>
        <x:v>Jan</x:v>
      </x:c>
      <x:c r="I367" s="22" t="n">
        <x:f>MONTH(D367)</x:f>
        <x:v>1</x:v>
      </x:c>
      <x:c r="J367" s="22" t="n">
        <x:f>YEAR(D367)</x:f>
        <x:v>2022</x:v>
      </x:c>
      <x:c r="K367" t="str">
        <x:f>IF(F367&gt;200,"Large Order","Standard Order")</x:f>
        <x:v>Standard Order</x:v>
      </x:c>
    </x:row>
    <x:row r="368">
      <x:c r="A368" t="str">
        <x:v>Kaine Padly</x:v>
      </x:c>
      <x:c r="B368" t="str">
        <x:v>India</x:v>
      </x:c>
      <x:c r="C368" t="str">
        <x:v>Milk Bars</x:v>
      </x:c>
      <x:c r="D368" s="14" t="n">
        <x:v>44683</x:v>
      </x:c>
      <x:c r="E368" s="16" t="n">
        <x:v>2905</x:v>
      </x:c>
      <x:c r="F368" s="18" t="n">
        <x:v>91</x:v>
      </x:c>
      <x:c r="G368" s="20" t="n">
        <x:f>IFERROR(E368/F368,0)</x:f>
        <x:v>31.923076923076923</x:v>
      </x:c>
      <x:c r="H368" t="str">
        <x:f>TEXT(D368,"mmm")</x:f>
        <x:v>May</x:v>
      </x:c>
      <x:c r="I368" s="22" t="n">
        <x:f>MONTH(D368)</x:f>
        <x:v>5</x:v>
      </x:c>
      <x:c r="J368" s="22" t="n">
        <x:f>YEAR(D368)</x:f>
        <x:v>2022</x:v>
      </x:c>
      <x:c r="K368" t="str">
        <x:f>IF(F368&gt;200,"Large Order","Standard Order")</x:f>
        <x:v>Standard Order</x:v>
      </x:c>
    </x:row>
    <x:row r="369">
      <x:c r="A369" t="str">
        <x:v>Ches Bonnell</x:v>
      </x:c>
      <x:c r="B369" t="str">
        <x:v>Australia</x:v>
      </x:c>
      <x:c r="C369" t="str">
        <x:v>Smooth Silky Salty</x:v>
      </x:c>
      <x:c r="D369" s="14" t="n">
        <x:v>44697</x:v>
      </x:c>
      <x:c r="E369" s="16" t="n">
        <x:v>7490</x:v>
      </x:c>
      <x:c r="F369" s="18" t="n">
        <x:v>54</x:v>
      </x:c>
      <x:c r="G369" s="20" t="n">
        <x:f>IFERROR(E369/F369,0)</x:f>
        <x:v>138.7037037037037</x:v>
      </x:c>
      <x:c r="H369" t="str">
        <x:f>TEXT(D369,"mmm")</x:f>
        <x:v>May</x:v>
      </x:c>
      <x:c r="I369" s="22" t="n">
        <x:f>MONTH(D369)</x:f>
        <x:v>5</x:v>
      </x:c>
      <x:c r="J369" s="22" t="n">
        <x:f>YEAR(D369)</x:f>
        <x:v>2022</x:v>
      </x:c>
      <x:c r="K369" t="str">
        <x:f>IF(F369&gt;200,"Large Order","Standard Order")</x:f>
        <x:v>Standard Order</x:v>
      </x:c>
    </x:row>
    <x:row r="370">
      <x:c r="A370" t="str">
        <x:v>Mallorie Waber</x:v>
      </x:c>
      <x:c r="B370" t="str">
        <x:v>USA</x:v>
      </x:c>
      <x:c r="C370" t="str">
        <x:v>Almond Choco</x:v>
      </x:c>
      <x:c r="D370" s="14" t="n">
        <x:v>44589</x:v>
      </x:c>
      <x:c r="E370" s="16" t="n">
        <x:v>6986</x:v>
      </x:c>
      <x:c r="F370" s="18" t="n">
        <x:v>368</x:v>
      </x:c>
      <x:c r="G370" s="20" t="n">
        <x:f>IFERROR(E370/F370,0)</x:f>
        <x:v>18.983695652173914</x:v>
      </x:c>
      <x:c r="H370" t="str">
        <x:f>TEXT(D370,"mmm")</x:f>
        <x:v>Jan</x:v>
      </x:c>
      <x:c r="I370" s="22" t="n">
        <x:f>MONTH(D370)</x:f>
        <x:v>1</x:v>
      </x:c>
      <x:c r="J370" s="22" t="n">
        <x:f>YEAR(D370)</x:f>
        <x:v>2022</x:v>
      </x:c>
      <x:c r="K370" t="str">
        <x:f>IF(F370&gt;200,"Large Order","Standard Order")</x:f>
        <x:v>Large Order</x:v>
      </x:c>
    </x:row>
    <x:row r="371">
      <x:c r="A371" t="str">
        <x:v>Kaine Padly</x:v>
      </x:c>
      <x:c r="B371" t="str">
        <x:v>Canada</x:v>
      </x:c>
      <x:c r="C371" t="str">
        <x:v>99% Dark &amp; Pure</x:v>
      </x:c>
      <x:c r="D371" s="14" t="n">
        <x:v>44736</x:v>
      </x:c>
      <x:c r="E371" s="16" t="n">
        <x:v>1288</x:v>
      </x:c>
      <x:c r="F371" s="18" t="n">
        <x:v>409</x:v>
      </x:c>
      <x:c r="G371" s="20" t="n">
        <x:f>IFERROR(E371/F371,0)</x:f>
        <x:v>3.1491442542787285</x:v>
      </x:c>
      <x:c r="H371" t="str">
        <x:f>TEXT(D371,"mmm")</x:f>
        <x:v>Jun</x:v>
      </x:c>
      <x:c r="I371" s="22" t="n">
        <x:f>MONTH(D371)</x:f>
        <x:v>6</x:v>
      </x:c>
      <x:c r="J371" s="22" t="n">
        <x:f>YEAR(D371)</x:f>
        <x:v>2022</x:v>
      </x:c>
      <x:c r="K371" t="str">
        <x:f>IF(F371&gt;200,"Large Order","Standard Order")</x:f>
        <x:v>Large Order</x:v>
      </x:c>
    </x:row>
    <x:row r="372">
      <x:c r="A372" t="str">
        <x:v>Oby Sorrel</x:v>
      </x:c>
      <x:c r="B372" t="str">
        <x:v>UK</x:v>
      </x:c>
      <x:c r="C372" t="str">
        <x:v>After Nines</x:v>
      </x:c>
      <x:c r="D372" s="14" t="n">
        <x:v>44760</x:v>
      </x:c>
      <x:c r="E372" s="16" t="n">
        <x:v>2345</x:v>
      </x:c>
      <x:c r="F372" s="18" t="n">
        <x:v>104</x:v>
      </x:c>
      <x:c r="G372" s="20" t="n">
        <x:f>IFERROR(E372/F372,0)</x:f>
        <x:v>22.548076923076923</x:v>
      </x:c>
      <x:c r="H372" t="str">
        <x:f>TEXT(D372,"mmm")</x:f>
        <x:v>Jul</x:v>
      </x:c>
      <x:c r="I372" s="22" t="n">
        <x:f>MONTH(D372)</x:f>
        <x:v>7</x:v>
      </x:c>
      <x:c r="J372" s="22" t="n">
        <x:f>YEAR(D372)</x:f>
        <x:v>2022</x:v>
      </x:c>
      <x:c r="K372" t="str">
        <x:f>IF(F372&gt;200,"Large Order","Standard Order")</x:f>
        <x:v>Standard Order</x:v>
      </x:c>
    </x:row>
    <x:row r="373">
      <x:c r="A373" t="str">
        <x:v>Gunar Cockshoot</x:v>
      </x:c>
      <x:c r="B373" t="str">
        <x:v>UK</x:v>
      </x:c>
      <x:c r="C373" t="str">
        <x:v>Eclairs</x:v>
      </x:c>
      <x:c r="D373" s="14" t="n">
        <x:v>44664</x:v>
      </x:c>
      <x:c r="E373" s="16" t="n">
        <x:v>3619</x:v>
      </x:c>
      <x:c r="F373" s="18" t="n">
        <x:v>164</x:v>
      </x:c>
      <x:c r="G373" s="20" t="n">
        <x:f>IFERROR(E373/F373,0)</x:f>
        <x:v>22.067073170731707</x:v>
      </x:c>
      <x:c r="H373" t="str">
        <x:f>TEXT(D373,"mmm")</x:f>
        <x:v>Apr</x:v>
      </x:c>
      <x:c r="I373" s="22" t="n">
        <x:f>MONTH(D373)</x:f>
        <x:v>4</x:v>
      </x:c>
      <x:c r="J373" s="22" t="n">
        <x:f>YEAR(D373)</x:f>
        <x:v>2022</x:v>
      </x:c>
      <x:c r="K373" t="str">
        <x:f>IF(F373&gt;200,"Large Order","Standard Order")</x:f>
        <x:v>Standard Order</x:v>
      </x:c>
    </x:row>
    <x:row r="374">
      <x:c r="A374" t="str">
        <x:v>Dotty Strutley</x:v>
      </x:c>
      <x:c r="B374" t="str">
        <x:v>USA</x:v>
      </x:c>
      <x:c r="C374" t="str">
        <x:v>Caramel Stuffed Bars</x:v>
      </x:c>
      <x:c r="D374" s="14" t="n">
        <x:v>44666</x:v>
      </x:c>
      <x:c r="E374" s="16" t="n">
        <x:v>16982</x:v>
      </x:c>
      <x:c r="F374" s="18" t="n">
        <x:v>76</x:v>
      </x:c>
      <x:c r="G374" s="20" t="n">
        <x:f>IFERROR(E374/F374,0)</x:f>
        <x:v>223.44736842105263</x:v>
      </x:c>
      <x:c r="H374" t="str">
        <x:f>TEXT(D374,"mmm")</x:f>
        <x:v>Apr</x:v>
      </x:c>
      <x:c r="I374" s="22" t="n">
        <x:f>MONTH(D374)</x:f>
        <x:v>4</x:v>
      </x:c>
      <x:c r="J374" s="22" t="n">
        <x:f>YEAR(D374)</x:f>
        <x:v>2022</x:v>
      </x:c>
      <x:c r="K374" t="str">
        <x:f>IF(F374&gt;200,"Large Order","Standard Order")</x:f>
        <x:v>Standard Order</x:v>
      </x:c>
    </x:row>
    <x:row r="375">
      <x:c r="A375" t="str">
        <x:v>Jan Morforth</x:v>
      </x:c>
      <x:c r="B375" t="str">
        <x:v>India</x:v>
      </x:c>
      <x:c r="C375" t="str">
        <x:v>Peanut Butter Cubes</x:v>
      </x:c>
      <x:c r="D375" s="14" t="n">
        <x:v>44565</x:v>
      </x:c>
      <x:c r="E375" s="16" t="n">
        <x:v>8092</x:v>
      </x:c>
      <x:c r="F375" s="18" t="n">
        <x:v>178</x:v>
      </x:c>
      <x:c r="G375" s="20" t="n">
        <x:f>IFERROR(E375/F375,0)</x:f>
        <x:v>45.46067415730337</x:v>
      </x:c>
      <x:c r="H375" t="str">
        <x:f>TEXT(D375,"mmm")</x:f>
        <x:v>Jan</x:v>
      </x:c>
      <x:c r="I375" s="22" t="n">
        <x:f>MONTH(D375)</x:f>
        <x:v>1</x:v>
      </x:c>
      <x:c r="J375" s="22" t="n">
        <x:f>YEAR(D375)</x:f>
        <x:v>2022</x:v>
      </x:c>
      <x:c r="K375" t="str">
        <x:f>IF(F375&gt;200,"Large Order","Standard Order")</x:f>
        <x:v>Standard Order</x:v>
      </x:c>
    </x:row>
    <x:row r="376">
      <x:c r="A376" t="str">
        <x:v>Husein Augar</x:v>
      </x:c>
      <x:c r="B376" t="str">
        <x:v>Australia</x:v>
      </x:c>
      <x:c r="C376" t="str">
        <x:v>Eclairs</x:v>
      </x:c>
      <x:c r="D376" s="14" t="n">
        <x:v>44746</x:v>
      </x:c>
      <x:c r="E376" s="16" t="n">
        <x:v>6993</x:v>
      </x:c>
      <x:c r="F376" s="18" t="n">
        <x:v>31</x:v>
      </x:c>
      <x:c r="G376" s="20" t="n">
        <x:f>IFERROR(E376/F376,0)</x:f>
        <x:v>225.58064516129033</x:v>
      </x:c>
      <x:c r="H376" t="str">
        <x:f>TEXT(D376,"mmm")</x:f>
        <x:v>Jul</x:v>
      </x:c>
      <x:c r="I376" s="22" t="n">
        <x:f>MONTH(D376)</x:f>
        <x:v>7</x:v>
      </x:c>
      <x:c r="J376" s="22" t="n">
        <x:f>YEAR(D376)</x:f>
        <x:v>2022</x:v>
      </x:c>
      <x:c r="K376" t="str">
        <x:f>IF(F376&gt;200,"Large Order","Standard Order")</x:f>
        <x:v>Standard Order</x:v>
      </x:c>
    </x:row>
    <x:row r="377">
      <x:c r="A377" t="str">
        <x:v>Beverie Moffet</x:v>
      </x:c>
      <x:c r="B377" t="str">
        <x:v>USA</x:v>
      </x:c>
      <x:c r="C377" t="str">
        <x:v>Smooth Silky Salty</x:v>
      </x:c>
      <x:c r="D377" s="14" t="n">
        <x:v>44644</x:v>
      </x:c>
      <x:c r="E377" s="16" t="n">
        <x:v>2317</x:v>
      </x:c>
      <x:c r="F377" s="18" t="n">
        <x:v>352</x:v>
      </x:c>
      <x:c r="G377" s="20" t="n">
        <x:f>IFERROR(E377/F377,0)</x:f>
        <x:v>6.582386363636363</x:v>
      </x:c>
      <x:c r="H377" t="str">
        <x:f>TEXT(D377,"mmm")</x:f>
        <x:v>Mar</x:v>
      </x:c>
      <x:c r="I377" s="22" t="n">
        <x:f>MONTH(D377)</x:f>
        <x:v>3</x:v>
      </x:c>
      <x:c r="J377" s="22" t="n">
        <x:f>YEAR(D377)</x:f>
        <x:v>2022</x:v>
      </x:c>
      <x:c r="K377" t="str">
        <x:f>IF(F377&gt;200,"Large Order","Standard Order")</x:f>
        <x:v>Large Order</x:v>
      </x:c>
    </x:row>
    <x:row r="378">
      <x:c r="A378" t="str">
        <x:v>Camilla Castle</x:v>
      </x:c>
      <x:c r="B378" t="str">
        <x:v>Australia</x:v>
      </x:c>
      <x:c r="C378" t="str">
        <x:v>Manuka Honey Choco</x:v>
      </x:c>
      <x:c r="D378" s="14" t="n">
        <x:v>44637</x:v>
      </x:c>
      <x:c r="E378" s="16" t="n">
        <x:v>637</x:v>
      </x:c>
      <x:c r="F378" s="18" t="n">
        <x:v>169</x:v>
      </x:c>
      <x:c r="G378" s="20" t="n">
        <x:f>IFERROR(E378/F378,0)</x:f>
        <x:v>3.769230769230769</x:v>
      </x:c>
      <x:c r="H378" t="str">
        <x:f>TEXT(D378,"mmm")</x:f>
        <x:v>Mar</x:v>
      </x:c>
      <x:c r="I378" s="22" t="n">
        <x:f>MONTH(D378)</x:f>
        <x:v>3</x:v>
      </x:c>
      <x:c r="J378" s="22" t="n">
        <x:f>YEAR(D378)</x:f>
        <x:v>2022</x:v>
      </x:c>
      <x:c r="K378" t="str">
        <x:f>IF(F378&gt;200,"Large Order","Standard Order")</x:f>
        <x:v>Standard Order</x:v>
      </x:c>
    </x:row>
    <x:row r="379">
      <x:c r="A379" t="str">
        <x:v>Oby Sorrel</x:v>
      </x:c>
      <x:c r="B379" t="str">
        <x:v>Australia</x:v>
      </x:c>
      <x:c r="C379" t="str">
        <x:v>Almond Choco</x:v>
      </x:c>
      <x:c r="D379" s="14" t="n">
        <x:v>44607</x:v>
      </x:c>
      <x:c r="E379" s="16" t="n">
        <x:v>6034</x:v>
      </x:c>
      <x:c r="F379" s="18" t="n">
        <x:v>223</x:v>
      </x:c>
      <x:c r="G379" s="20" t="n">
        <x:f>IFERROR(E379/F379,0)</x:f>
        <x:v>27.05829596412556</x:v>
      </x:c>
      <x:c r="H379" t="str">
        <x:f>TEXT(D379,"mmm")</x:f>
        <x:v>Feb</x:v>
      </x:c>
      <x:c r="I379" s="22" t="n">
        <x:f>MONTH(D379)</x:f>
        <x:v>2</x:v>
      </x:c>
      <x:c r="J379" s="22" t="n">
        <x:f>YEAR(D379)</x:f>
        <x:v>2022</x:v>
      </x:c>
      <x:c r="K379" t="str">
        <x:f>IF(F379&gt;200,"Large Order","Standard Order")</x:f>
        <x:v>Large Order</x:v>
      </x:c>
    </x:row>
    <x:row r="380">
      <x:c r="A380" t="str">
        <x:v>Jan Morforth</x:v>
      </x:c>
      <x:c r="B380" t="str">
        <x:v>USA</x:v>
      </x:c>
      <x:c r="C380" t="str">
        <x:v>Orange Choco</x:v>
      </x:c>
      <x:c r="D380" s="14" t="n">
        <x:v>44741</x:v>
      </x:c>
      <x:c r="E380" s="16" t="n">
        <x:v>980</x:v>
      </x:c>
      <x:c r="F380" s="18" t="n">
        <x:v>146</x:v>
      </x:c>
      <x:c r="G380" s="20" t="n">
        <x:f>IFERROR(E380/F380,0)</x:f>
        <x:v>6.712328767123288</x:v>
      </x:c>
      <x:c r="H380" t="str">
        <x:f>TEXT(D380,"mmm")</x:f>
        <x:v>Jun</x:v>
      </x:c>
      <x:c r="I380" s="22" t="n">
        <x:f>MONTH(D380)</x:f>
        <x:v>6</x:v>
      </x:c>
      <x:c r="J380" s="22" t="n">
        <x:f>YEAR(D380)</x:f>
        <x:v>2022</x:v>
      </x:c>
      <x:c r="K380" t="str">
        <x:f>IF(F380&gt;200,"Large Order","Standard Order")</x:f>
        <x:v>Standard Order</x:v>
      </x:c>
    </x:row>
    <x:row r="381">
      <x:c r="A381" t="str">
        <x:v>Gigi Bohling</x:v>
      </x:c>
      <x:c r="B381" t="str">
        <x:v>USA</x:v>
      </x:c>
      <x:c r="C381" t="str">
        <x:v>Fruit &amp; Nut Bars</x:v>
      </x:c>
      <x:c r="D381" s="14" t="n">
        <x:v>44705</x:v>
      </x:c>
      <x:c r="E381" s="16" t="n">
        <x:v>2821</x:v>
      </x:c>
      <x:c r="F381" s="18" t="n">
        <x:v>112</x:v>
      </x:c>
      <x:c r="G381" s="20" t="n">
        <x:f>IFERROR(E381/F381,0)</x:f>
        <x:v>25.1875</x:v>
      </x:c>
      <x:c r="H381" t="str">
        <x:f>TEXT(D381,"mmm")</x:f>
        <x:v>May</x:v>
      </x:c>
      <x:c r="I381" s="22" t="n">
        <x:f>MONTH(D381)</x:f>
        <x:v>5</x:v>
      </x:c>
      <x:c r="J381" s="22" t="n">
        <x:f>YEAR(D381)</x:f>
        <x:v>2022</x:v>
      </x:c>
      <x:c r="K381" t="str">
        <x:f>IF(F381&gt;200,"Large Order","Standard Order")</x:f>
        <x:v>Standard Order</x:v>
      </x:c>
    </x:row>
    <x:row r="382">
      <x:c r="A382" t="str">
        <x:v>Mallorie Waber</x:v>
      </x:c>
      <x:c r="B382" t="str">
        <x:v>UK</x:v>
      </x:c>
      <x:c r="C382" t="str">
        <x:v>Milk Bars</x:v>
      </x:c>
      <x:c r="D382" s="14" t="n">
        <x:v>44571</x:v>
      </x:c>
      <x:c r="E382" s="16" t="n">
        <x:v>3563</x:v>
      </x:c>
      <x:c r="F382" s="18" t="n">
        <x:v>284</x:v>
      </x:c>
      <x:c r="G382" s="20" t="n">
        <x:f>IFERROR(E382/F382,0)</x:f>
        <x:v>12.545774647887324</x:v>
      </x:c>
      <x:c r="H382" t="str">
        <x:f>TEXT(D382,"mmm")</x:f>
        <x:v>Jan</x:v>
      </x:c>
      <x:c r="I382" s="22" t="n">
        <x:f>MONTH(D382)</x:f>
        <x:v>1</x:v>
      </x:c>
      <x:c r="J382" s="22" t="n">
        <x:f>YEAR(D382)</x:f>
        <x:v>2022</x:v>
      </x:c>
      <x:c r="K382" t="str">
        <x:f>IF(F382&gt;200,"Large Order","Standard Order")</x:f>
        <x:v>Large Order</x:v>
      </x:c>
    </x:row>
    <x:row r="383">
      <x:c r="A383" t="str">
        <x:v>Curtice Advani</x:v>
      </x:c>
      <x:c r="B383" t="str">
        <x:v>USA</x:v>
      </x:c>
      <x:c r="C383" t="str">
        <x:v>Raspberry Choco</x:v>
      </x:c>
      <x:c r="D383" s="14" t="n">
        <x:v>44635</x:v>
      </x:c>
      <x:c r="E383" s="16" t="n">
        <x:v>2996</x:v>
      </x:c>
      <x:c r="F383" s="18" t="n">
        <x:v>139</x:v>
      </x:c>
      <x:c r="G383" s="20" t="n">
        <x:f>IFERROR(E383/F383,0)</x:f>
        <x:v>21.553956834532375</x:v>
      </x:c>
      <x:c r="H383" t="str">
        <x:f>TEXT(D383,"mmm")</x:f>
        <x:v>Mar</x:v>
      </x:c>
      <x:c r="I383" s="22" t="n">
        <x:f>MONTH(D383)</x:f>
        <x:v>3</x:v>
      </x:c>
      <x:c r="J383" s="22" t="n">
        <x:f>YEAR(D383)</x:f>
        <x:v>2022</x:v>
      </x:c>
      <x:c r="K383" t="str">
        <x:f>IF(F383&gt;200,"Large Order","Standard Order")</x:f>
        <x:v>Standard Order</x:v>
      </x:c>
    </x:row>
    <x:row r="384">
      <x:c r="A384" t="str">
        <x:v>Marney O'Breen</x:v>
      </x:c>
      <x:c r="B384" t="str">
        <x:v>Canada</x:v>
      </x:c>
      <x:c r="C384" t="str">
        <x:v>Milk Bars</x:v>
      </x:c>
      <x:c r="D384" s="14" t="n">
        <x:v>44600</x:v>
      </x:c>
      <x:c r="E384" s="16" t="n">
        <x:v>2436</x:v>
      </x:c>
      <x:c r="F384" s="18" t="n">
        <x:v>309</x:v>
      </x:c>
      <x:c r="G384" s="20" t="n">
        <x:f>IFERROR(E384/F384,0)</x:f>
        <x:v>7.883495145631068</x:v>
      </x:c>
      <x:c r="H384" t="str">
        <x:f>TEXT(D384,"mmm")</x:f>
        <x:v>Feb</x:v>
      </x:c>
      <x:c r="I384" s="22" t="n">
        <x:f>MONTH(D384)</x:f>
        <x:v>2</x:v>
      </x:c>
      <x:c r="J384" s="22" t="n">
        <x:f>YEAR(D384)</x:f>
        <x:v>2022</x:v>
      </x:c>
      <x:c r="K384" t="str">
        <x:f>IF(F384&gt;200,"Large Order","Standard Order")</x:f>
        <x:v>Large Order</x:v>
      </x:c>
    </x:row>
    <x:row r="385">
      <x:c r="A385" t="str">
        <x:v>Brien Boise</x:v>
      </x:c>
      <x:c r="B385" t="str">
        <x:v>India</x:v>
      </x:c>
      <x:c r="C385" t="str">
        <x:v>Caramel Stuffed Bars</x:v>
      </x:c>
      <x:c r="D385" s="14" t="n">
        <x:v>44617</x:v>
      </x:c>
      <x:c r="E385" s="16" t="n">
        <x:v>1540</x:v>
      </x:c>
      <x:c r="F385" s="18" t="n">
        <x:v>100</x:v>
      </x:c>
      <x:c r="G385" s="20" t="n">
        <x:f>IFERROR(E385/F385,0)</x:f>
        <x:v>15.4</x:v>
      </x:c>
      <x:c r="H385" t="str">
        <x:f>TEXT(D385,"mmm")</x:f>
        <x:v>Feb</x:v>
      </x:c>
      <x:c r="I385" s="22" t="n">
        <x:f>MONTH(D385)</x:f>
        <x:v>2</x:v>
      </x:c>
      <x:c r="J385" s="22" t="n">
        <x:f>YEAR(D385)</x:f>
        <x:v>2022</x:v>
      </x:c>
      <x:c r="K385" t="str">
        <x:f>IF(F385&gt;200,"Large Order","Standard Order")</x:f>
        <x:v>Standard Order</x:v>
      </x:c>
    </x:row>
    <x:row r="386">
      <x:c r="A386" t="str">
        <x:v>Gunar Cockshoot</x:v>
      </x:c>
      <x:c r="B386" t="str">
        <x:v>USA</x:v>
      </x:c>
      <x:c r="C386" t="str">
        <x:v>Eclairs</x:v>
      </x:c>
      <x:c r="D386" s="14" t="n">
        <x:v>44684</x:v>
      </x:c>
      <x:c r="E386" s="16" t="n">
        <x:v>6916</x:v>
      </x:c>
      <x:c r="F386" s="18" t="n">
        <x:v>42</x:v>
      </x:c>
      <x:c r="G386" s="20" t="n">
        <x:f>IFERROR(E386/F386,0)</x:f>
        <x:v>164.66666666666666</x:v>
      </x:c>
      <x:c r="H386" t="str">
        <x:f>TEXT(D386,"mmm")</x:f>
        <x:v>May</x:v>
      </x:c>
      <x:c r="I386" s="22" t="n">
        <x:f>MONTH(D386)</x:f>
        <x:v>5</x:v>
      </x:c>
      <x:c r="J386" s="22" t="n">
        <x:f>YEAR(D386)</x:f>
        <x:v>2022</x:v>
      </x:c>
      <x:c r="K386" t="str">
        <x:f>IF(F386&gt;200,"Large Order","Standard Order")</x:f>
        <x:v>Standard Order</x:v>
      </x:c>
    </x:row>
    <x:row r="387">
      <x:c r="A387" t="str">
        <x:v>Roddy Speechley</x:v>
      </x:c>
      <x:c r="B387" t="str">
        <x:v>USA</x:v>
      </x:c>
      <x:c r="C387" t="str">
        <x:v>Fruit &amp; Nut Bars</x:v>
      </x:c>
      <x:c r="D387" s="14" t="n">
        <x:v>44726</x:v>
      </x:c>
      <x:c r="E387" s="16" t="n">
        <x:v>5509</x:v>
      </x:c>
      <x:c r="F387" s="18" t="n">
        <x:v>24</x:v>
      </x:c>
      <x:c r="G387" s="20" t="n">
        <x:f>IFERROR(E387/F387,0)</x:f>
        <x:v>229.54166666666666</x:v>
      </x:c>
      <x:c r="H387" t="str">
        <x:f>TEXT(D387,"mmm")</x:f>
        <x:v>Jun</x:v>
      </x:c>
      <x:c r="I387" s="22" t="n">
        <x:f>MONTH(D387)</x:f>
        <x:v>6</x:v>
      </x:c>
      <x:c r="J387" s="22" t="n">
        <x:f>YEAR(D387)</x:f>
        <x:v>2022</x:v>
      </x:c>
      <x:c r="K387" t="str">
        <x:f>IF(F387&gt;200,"Large Order","Standard Order")</x:f>
        <x:v>Standard Order</x:v>
      </x:c>
    </x:row>
    <x:row r="388">
      <x:c r="A388" t="str">
        <x:v>Gunar Cockshoot</x:v>
      </x:c>
      <x:c r="B388" t="str">
        <x:v>India</x:v>
      </x:c>
      <x:c r="C388" t="str">
        <x:v>50% Dark Bites</x:v>
      </x:c>
      <x:c r="D388" s="14" t="n">
        <x:v>44782</x:v>
      </x:c>
      <x:c r="E388" s="16" t="n">
        <x:v>12992</x:v>
      </x:c>
      <x:c r="F388" s="18" t="n">
        <x:v>83</x:v>
      </x:c>
      <x:c r="G388" s="20" t="n">
        <x:f>IFERROR(E388/F388,0)</x:f>
        <x:v>156.53012048192772</x:v>
      </x:c>
      <x:c r="H388" t="str">
        <x:f>TEXT(D388,"mmm")</x:f>
        <x:v>Aug</x:v>
      </x:c>
      <x:c r="I388" s="22" t="n">
        <x:f>MONTH(D388)</x:f>
        <x:v>8</x:v>
      </x:c>
      <x:c r="J388" s="22" t="n">
        <x:f>YEAR(D388)</x:f>
        <x:v>2022</x:v>
      </x:c>
      <x:c r="K388" t="str">
        <x:f>IF(F388&gt;200,"Large Order","Standard Order")</x:f>
        <x:v>Standard Order</x:v>
      </x:c>
    </x:row>
    <x:row r="389">
      <x:c r="A389" t="str">
        <x:v>Wilone O'Kielt</x:v>
      </x:c>
      <x:c r="B389" t="str">
        <x:v>New Zealand</x:v>
      </x:c>
      <x:c r="C389" t="str">
        <x:v>Manuka Honey Choco</x:v>
      </x:c>
      <x:c r="D389" s="14" t="n">
        <x:v>44753</x:v>
      </x:c>
      <x:c r="E389" s="16" t="n">
        <x:v>3724</x:v>
      </x:c>
      <x:c r="F389" s="18" t="n">
        <x:v>234</x:v>
      </x:c>
      <x:c r="G389" s="20" t="n">
        <x:f>IFERROR(E389/F389,0)</x:f>
        <x:v>15.914529914529915</x:v>
      </x:c>
      <x:c r="H389" t="str">
        <x:f>TEXT(D389,"mmm")</x:f>
        <x:v>Jul</x:v>
      </x:c>
      <x:c r="I389" s="22" t="n">
        <x:f>MONTH(D389)</x:f>
        <x:v>7</x:v>
      </x:c>
      <x:c r="J389" s="22" t="n">
        <x:f>YEAR(D389)</x:f>
        <x:v>2022</x:v>
      </x:c>
      <x:c r="K389" t="str">
        <x:f>IF(F389&gt;200,"Large Order","Standard Order")</x:f>
        <x:v>Large Order</x:v>
      </x:c>
    </x:row>
    <x:row r="390">
      <x:c r="A390" t="str">
        <x:v>Kaine Padly</x:v>
      </x:c>
      <x:c r="B390" t="str">
        <x:v>UK</x:v>
      </x:c>
      <x:c r="C390" t="str">
        <x:v>Manuka Honey Choco</x:v>
      </x:c>
      <x:c r="D390" s="14" t="n">
        <x:v>44575</x:v>
      </x:c>
      <x:c r="E390" s="16" t="n">
        <x:v>7133</x:v>
      </x:c>
      <x:c r="F390" s="18" t="n">
        <x:v>118</x:v>
      </x:c>
      <x:c r="G390" s="20" t="n">
        <x:f>IFERROR(E390/F390,0)</x:f>
        <x:v>60.44915254237288</x:v>
      </x:c>
      <x:c r="H390" t="str">
        <x:f>TEXT(D390,"mmm")</x:f>
        <x:v>Jan</x:v>
      </x:c>
      <x:c r="I390" s="22" t="n">
        <x:f>MONTH(D390)</x:f>
        <x:v>1</x:v>
      </x:c>
      <x:c r="J390" s="22" t="n">
        <x:f>YEAR(D390)</x:f>
        <x:v>2022</x:v>
      </x:c>
      <x:c r="K390" t="str">
        <x:f>IF(F390&gt;200,"Large Order","Standard Order")</x:f>
        <x:v>Standard Order</x:v>
      </x:c>
    </x:row>
    <x:row r="391">
      <x:c r="A391" t="str">
        <x:v>Van Tuxwell</x:v>
      </x:c>
      <x:c r="B391" t="str">
        <x:v>Canada</x:v>
      </x:c>
      <x:c r="C391" t="str">
        <x:v>Manuka Honey Choco</x:v>
      </x:c>
      <x:c r="D391" s="14" t="n">
        <x:v>44616</x:v>
      </x:c>
      <x:c r="E391" s="16" t="n">
        <x:v>8617</x:v>
      </x:c>
      <x:c r="F391" s="18" t="n">
        <x:v>46</x:v>
      </x:c>
      <x:c r="G391" s="20" t="n">
        <x:f>IFERROR(E391/F391,0)</x:f>
        <x:v>187.32608695652175</x:v>
      </x:c>
      <x:c r="H391" t="str">
        <x:f>TEXT(D391,"mmm")</x:f>
        <x:v>Feb</x:v>
      </x:c>
      <x:c r="I391" s="22" t="n">
        <x:f>MONTH(D391)</x:f>
        <x:v>2</x:v>
      </x:c>
      <x:c r="J391" s="22" t="n">
        <x:f>YEAR(D391)</x:f>
        <x:v>2022</x:v>
      </x:c>
      <x:c r="K391" t="str">
        <x:f>IF(F391&gt;200,"Large Order","Standard Order")</x:f>
        <x:v>Standard Order</x:v>
      </x:c>
    </x:row>
    <x:row r="392">
      <x:c r="A392" t="str">
        <x:v>Wilone O'Kielt</x:v>
      </x:c>
      <x:c r="B392" t="str">
        <x:v>New Zealand</x:v>
      </x:c>
      <x:c r="C392" t="str">
        <x:v>Almond Choco</x:v>
      </x:c>
      <x:c r="D392" s="14" t="n">
        <x:v>44635</x:v>
      </x:c>
      <x:c r="E392" s="16" t="n">
        <x:v>9198</x:v>
      </x:c>
      <x:c r="F392" s="18" t="n">
        <x:v>144</x:v>
      </x:c>
      <x:c r="G392" s="20" t="n">
        <x:f>IFERROR(E392/F392,0)</x:f>
        <x:v>63.875</x:v>
      </x:c>
      <x:c r="H392" t="str">
        <x:f>TEXT(D392,"mmm")</x:f>
        <x:v>Mar</x:v>
      </x:c>
      <x:c r="I392" s="22" t="n">
        <x:f>MONTH(D392)</x:f>
        <x:v>3</x:v>
      </x:c>
      <x:c r="J392" s="22" t="n">
        <x:f>YEAR(D392)</x:f>
        <x:v>2022</x:v>
      </x:c>
      <x:c r="K392" t="str">
        <x:f>IF(F392&gt;200,"Large Order","Standard Order")</x:f>
        <x:v>Standard Order</x:v>
      </x:c>
    </x:row>
    <x:row r="393">
      <x:c r="A393" t="str">
        <x:v>Oby Sorrel</x:v>
      </x:c>
      <x:c r="B393" t="str">
        <x:v>New Zealand</x:v>
      </x:c>
      <x:c r="C393" t="str">
        <x:v>Baker's Choco Chips</x:v>
      </x:c>
      <x:c r="D393" s="14" t="n">
        <x:v>44676</x:v>
      </x:c>
      <x:c r="E393" s="16" t="n">
        <x:v>11823</x:v>
      </x:c>
      <x:c r="F393" s="18" t="n">
        <x:v>47</x:v>
      </x:c>
      <x:c r="G393" s="20" t="n">
        <x:f>IFERROR(E393/F393,0)</x:f>
        <x:v>251.5531914893617</x:v>
      </x:c>
      <x:c r="H393" t="str">
        <x:f>TEXT(D393,"mmm")</x:f>
        <x:v>Apr</x:v>
      </x:c>
      <x:c r="I393" s="22" t="n">
        <x:f>MONTH(D393)</x:f>
        <x:v>4</x:v>
      </x:c>
      <x:c r="J393" s="22" t="n">
        <x:f>YEAR(D393)</x:f>
        <x:v>2022</x:v>
      </x:c>
      <x:c r="K393" t="str">
        <x:f>IF(F393&gt;200,"Large Order","Standard Order")</x:f>
        <x:v>Standard Order</x:v>
      </x:c>
    </x:row>
    <x:row r="394">
      <x:c r="A394" t="str">
        <x:v>Dennison Crosswaite</x:v>
      </x:c>
      <x:c r="B394" t="str">
        <x:v>Australia</x:v>
      </x:c>
      <x:c r="C394" t="str">
        <x:v>Organic Choco Syrup</x:v>
      </x:c>
      <x:c r="D394" s="14" t="n">
        <x:v>44691</x:v>
      </x:c>
      <x:c r="E394" s="16" t="n">
        <x:v>5775</x:v>
      </x:c>
      <x:c r="F394" s="18" t="n">
        <x:v>41</x:v>
      </x:c>
      <x:c r="G394" s="20" t="n">
        <x:f>IFERROR(E394/F394,0)</x:f>
        <x:v>140.85365853658536</x:v>
      </x:c>
      <x:c r="H394" t="str">
        <x:f>TEXT(D394,"mmm")</x:f>
        <x:v>May</x:v>
      </x:c>
      <x:c r="I394" s="22" t="n">
        <x:f>MONTH(D394)</x:f>
        <x:v>5</x:v>
      </x:c>
      <x:c r="J394" s="22" t="n">
        <x:f>YEAR(D394)</x:f>
        <x:v>2022</x:v>
      </x:c>
      <x:c r="K394" t="str">
        <x:f>IF(F394&gt;200,"Large Order","Standard Order")</x:f>
        <x:v>Standard Order</x:v>
      </x:c>
    </x:row>
    <x:row r="395">
      <x:c r="A395" t="str">
        <x:v>Marney O'Breen</x:v>
      </x:c>
      <x:c r="B395" t="str">
        <x:v>Australia</x:v>
      </x:c>
      <x:c r="C395" t="str">
        <x:v>Spicy Special Slims</x:v>
      </x:c>
      <x:c r="D395" s="14" t="n">
        <x:v>44735</x:v>
      </x:c>
      <x:c r="E395" s="16" t="n">
        <x:v>13125</x:v>
      </x:c>
      <x:c r="F395" s="18" t="n">
        <x:v>275</x:v>
      </x:c>
      <x:c r="G395" s="20" t="n">
        <x:f>IFERROR(E395/F395,0)</x:f>
        <x:v>47.72727272727273</x:v>
      </x:c>
      <x:c r="H395" t="str">
        <x:f>TEXT(D395,"mmm")</x:f>
        <x:v>Jun</x:v>
      </x:c>
      <x:c r="I395" s="22" t="n">
        <x:f>MONTH(D395)</x:f>
        <x:v>6</x:v>
      </x:c>
      <x:c r="J395" s="22" t="n">
        <x:f>YEAR(D395)</x:f>
        <x:v>2022</x:v>
      </x:c>
      <x:c r="K395" t="str">
        <x:f>IF(F395&gt;200,"Large Order","Standard Order")</x:f>
        <x:v>Large Order</x:v>
      </x:c>
    </x:row>
    <x:row r="396">
      <x:c r="A396" t="str">
        <x:v>Beverie Moffet</x:v>
      </x:c>
      <x:c r="B396" t="str">
        <x:v>Canada</x:v>
      </x:c>
      <x:c r="C396" t="str">
        <x:v>Smooth Silky Salty</x:v>
      </x:c>
      <x:c r="D396" s="14" t="n">
        <x:v>44620</x:v>
      </x:c>
      <x:c r="E396" s="16" t="n">
        <x:v>14287</x:v>
      </x:c>
      <x:c r="F396" s="18" t="n">
        <x:v>370</x:v>
      </x:c>
      <x:c r="G396" s="20" t="n">
        <x:f>IFERROR(E396/F396,0)</x:f>
        <x:v>38.61351351351351</x:v>
      </x:c>
      <x:c r="H396" t="str">
        <x:f>TEXT(D396,"mmm")</x:f>
        <x:v>Feb</x:v>
      </x:c>
      <x:c r="I396" s="22" t="n">
        <x:f>MONTH(D396)</x:f>
        <x:v>2</x:v>
      </x:c>
      <x:c r="J396" s="22" t="n">
        <x:f>YEAR(D396)</x:f>
        <x:v>2022</x:v>
      </x:c>
      <x:c r="K396" t="str">
        <x:f>IF(F396&gt;200,"Large Order","Standard Order")</x:f>
        <x:v>Large Order</x:v>
      </x:c>
    </x:row>
    <x:row r="397">
      <x:c r="A397" t="str">
        <x:v>Brien Boise</x:v>
      </x:c>
      <x:c r="B397" t="str">
        <x:v>USA</x:v>
      </x:c>
      <x:c r="C397" t="str">
        <x:v>Organic Choco Syrup</x:v>
      </x:c>
      <x:c r="D397" s="14" t="n">
        <x:v>44706</x:v>
      </x:c>
      <x:c r="E397" s="16" t="n">
        <x:v>16233</x:v>
      </x:c>
      <x:c r="F397" s="18" t="n">
        <x:v>138</x:v>
      </x:c>
      <x:c r="G397" s="20" t="n">
        <x:f>IFERROR(E397/F397,0)</x:f>
        <x:v>117.6304347826087</x:v>
      </x:c>
      <x:c r="H397" t="str">
        <x:f>TEXT(D397,"mmm")</x:f>
        <x:v>May</x:v>
      </x:c>
      <x:c r="I397" s="22" t="n">
        <x:f>MONTH(D397)</x:f>
        <x:v>5</x:v>
      </x:c>
      <x:c r="J397" s="22" t="n">
        <x:f>YEAR(D397)</x:f>
        <x:v>2022</x:v>
      </x:c>
      <x:c r="K397" t="str">
        <x:f>IF(F397&gt;200,"Large Order","Standard Order")</x:f>
        <x:v>Standard Order</x:v>
      </x:c>
    </x:row>
    <x:row r="398">
      <x:c r="A398" t="str">
        <x:v>Roddy Speechley</x:v>
      </x:c>
      <x:c r="B398" t="str">
        <x:v>New Zealand</x:v>
      </x:c>
      <x:c r="C398" t="str">
        <x:v>Baker's Choco Chips</x:v>
      </x:c>
      <x:c r="D398" s="14" t="n">
        <x:v>44614</x:v>
      </x:c>
      <x:c r="E398" s="16" t="n">
        <x:v>5313</x:v>
      </x:c>
      <x:c r="F398" s="18" t="n">
        <x:v>215</x:v>
      </x:c>
      <x:c r="G398" s="20" t="n">
        <x:f>IFERROR(E398/F398,0)</x:f>
        <x:v>24.711627906976744</x:v>
      </x:c>
      <x:c r="H398" t="str">
        <x:f>TEXT(D398,"mmm")</x:f>
        <x:v>Feb</x:v>
      </x:c>
      <x:c r="I398" s="22" t="n">
        <x:f>MONTH(D398)</x:f>
        <x:v>2</x:v>
      </x:c>
      <x:c r="J398" s="22" t="n">
        <x:f>YEAR(D398)</x:f>
        <x:v>2022</x:v>
      </x:c>
      <x:c r="K398" t="str">
        <x:f>IF(F398&gt;200,"Large Order","Standard Order")</x:f>
        <x:v>Large Order</x:v>
      </x:c>
    </x:row>
    <x:row r="399">
      <x:c r="A399" t="str">
        <x:v>Van Tuxwell</x:v>
      </x:c>
      <x:c r="B399" t="str">
        <x:v>UK</x:v>
      </x:c>
      <x:c r="C399" t="str">
        <x:v>85% Dark Bars</x:v>
      </x:c>
      <x:c r="D399" s="14" t="n">
        <x:v>44753</x:v>
      </x:c>
      <x:c r="E399" s="16" t="n">
        <x:v>3577</x:v>
      </x:c>
      <x:c r="F399" s="18" t="n">
        <x:v>134</x:v>
      </x:c>
      <x:c r="G399" s="20" t="n">
        <x:f>IFERROR(E399/F399,0)</x:f>
        <x:v>26.69402985074627</x:v>
      </x:c>
      <x:c r="H399" t="str">
        <x:f>TEXT(D399,"mmm")</x:f>
        <x:v>Jul</x:v>
      </x:c>
      <x:c r="I399" s="22" t="n">
        <x:f>MONTH(D399)</x:f>
        <x:v>7</x:v>
      </x:c>
      <x:c r="J399" s="22" t="n">
        <x:f>YEAR(D399)</x:f>
        <x:v>2022</x:v>
      </x:c>
      <x:c r="K399" t="str">
        <x:f>IF(F399&gt;200,"Large Order","Standard Order")</x:f>
        <x:v>Standard Order</x:v>
      </x:c>
    </x:row>
    <x:row r="400">
      <x:c r="A400" t="str">
        <x:v>Marney O'Breen</x:v>
      </x:c>
      <x:c r="B400" t="str">
        <x:v>Canada</x:v>
      </x:c>
      <x:c r="C400" t="str">
        <x:v>Spicy Special Slims</x:v>
      </x:c>
      <x:c r="D400" s="14" t="n">
        <x:v>44564</x:v>
      </x:c>
      <x:c r="E400" s="16" t="n">
        <x:v>3528</x:v>
      </x:c>
      <x:c r="F400" s="18" t="n">
        <x:v>336</x:v>
      </x:c>
      <x:c r="G400" s="20" t="n">
        <x:f>IFERROR(E400/F400,0)</x:f>
        <x:v>10.5</x:v>
      </x:c>
      <x:c r="H400" t="str">
        <x:f>TEXT(D400,"mmm")</x:f>
        <x:v>Jan</x:v>
      </x:c>
      <x:c r="I400" s="22" t="n">
        <x:f>MONTH(D400)</x:f>
        <x:v>1</x:v>
      </x:c>
      <x:c r="J400" s="22" t="n">
        <x:f>YEAR(D400)</x:f>
        <x:v>2022</x:v>
      </x:c>
      <x:c r="K400" t="str">
        <x:f>IF(F400&gt;200,"Large Order","Standard Order")</x:f>
        <x:v>Large Order</x:v>
      </x:c>
    </x:row>
    <x:row r="401">
      <x:c r="A401" t="str">
        <x:v>Rafaelita Blaksland</x:v>
      </x:c>
      <x:c r="B401" t="str">
        <x:v>New Zealand</x:v>
      </x:c>
      <x:c r="C401" t="str">
        <x:v>70% Dark Bites</x:v>
      </x:c>
      <x:c r="D401" s="14" t="n">
        <x:v>44797</x:v>
      </x:c>
      <x:c r="E401" s="16" t="n">
        <x:v>679</x:v>
      </x:c>
      <x:c r="F401" s="18" t="n">
        <x:v>280</x:v>
      </x:c>
      <x:c r="G401" s="20" t="n">
        <x:f>IFERROR(E401/F401,0)</x:f>
        <x:v>2.425</x:v>
      </x:c>
      <x:c r="H401" t="str">
        <x:f>TEXT(D401,"mmm")</x:f>
        <x:v>Aug</x:v>
      </x:c>
      <x:c r="I401" s="22" t="n">
        <x:f>MONTH(D401)</x:f>
        <x:v>8</x:v>
      </x:c>
      <x:c r="J401" s="22" t="n">
        <x:f>YEAR(D401)</x:f>
        <x:v>2022</x:v>
      </x:c>
      <x:c r="K401" t="str">
        <x:f>IF(F401&gt;200,"Large Order","Standard Order")</x:f>
        <x:v>Large Order</x:v>
      </x:c>
    </x:row>
    <x:row r="402">
      <x:c r="A402" t="str">
        <x:v>Beverie Moffet</x:v>
      </x:c>
      <x:c r="B402" t="str">
        <x:v>USA</x:v>
      </x:c>
      <x:c r="C402" t="str">
        <x:v>50% Dark Bites</x:v>
      </x:c>
      <x:c r="D402" s="14" t="n">
        <x:v>44770</x:v>
      </x:c>
      <x:c r="E402" s="16" t="n">
        <x:v>2450</x:v>
      </x:c>
      <x:c r="F402" s="18" t="n">
        <x:v>352</x:v>
      </x:c>
      <x:c r="G402" s="20" t="n">
        <x:f>IFERROR(E402/F402,0)</x:f>
        <x:v>6.9602272727272725</x:v>
      </x:c>
      <x:c r="H402" t="str">
        <x:f>TEXT(D402,"mmm")</x:f>
        <x:v>Jul</x:v>
      </x:c>
      <x:c r="I402" s="22" t="n">
        <x:f>MONTH(D402)</x:f>
        <x:v>7</x:v>
      </x:c>
      <x:c r="J402" s="22" t="n">
        <x:f>YEAR(D402)</x:f>
        <x:v>2022</x:v>
      </x:c>
      <x:c r="K402" t="str">
        <x:f>IF(F402&gt;200,"Large Order","Standard Order")</x:f>
        <x:v>Large Order</x:v>
      </x:c>
    </x:row>
    <x:row r="403">
      <x:c r="A403" t="str">
        <x:v>Brien Boise</x:v>
      </x:c>
      <x:c r="B403" t="str">
        <x:v>USA</x:v>
      </x:c>
      <x:c r="C403" t="str">
        <x:v>Mint Chip Choco</x:v>
      </x:c>
      <x:c r="D403" s="14" t="n">
        <x:v>44706</x:v>
      </x:c>
      <x:c r="E403" s="16" t="n">
        <x:v>10577</x:v>
      </x:c>
      <x:c r="F403" s="18" t="n">
        <x:v>150</x:v>
      </x:c>
      <x:c r="G403" s="20" t="n">
        <x:f>IFERROR(E403/F403,0)</x:f>
        <x:v>70.51333333333334</x:v>
      </x:c>
      <x:c r="H403" t="str">
        <x:f>TEXT(D403,"mmm")</x:f>
        <x:v>May</x:v>
      </x:c>
      <x:c r="I403" s="22" t="n">
        <x:f>MONTH(D403)</x:f>
        <x:v>5</x:v>
      </x:c>
      <x:c r="J403" s="22" t="n">
        <x:f>YEAR(D403)</x:f>
        <x:v>2022</x:v>
      </x:c>
      <x:c r="K403" t="str">
        <x:f>IF(F403&gt;200,"Large Order","Standard Order")</x:f>
        <x:v>Standard Order</x:v>
      </x:c>
    </x:row>
    <x:row r="404">
      <x:c r="A404" t="str">
        <x:v>Karlen McCaffrey</x:v>
      </x:c>
      <x:c r="B404" t="str">
        <x:v>New Zealand</x:v>
      </x:c>
      <x:c r="C404" t="str">
        <x:v>Eclairs</x:v>
      </x:c>
      <x:c r="D404" s="14" t="n">
        <x:v>44687</x:v>
      </x:c>
      <x:c r="E404" s="16" t="n">
        <x:v>2597</x:v>
      </x:c>
      <x:c r="F404" s="18" t="n">
        <x:v>177</x:v>
      </x:c>
      <x:c r="G404" s="20" t="n">
        <x:f>IFERROR(E404/F404,0)</x:f>
        <x:v>14.67231638418079</x:v>
      </x:c>
      <x:c r="H404" t="str">
        <x:f>TEXT(D404,"mmm")</x:f>
        <x:v>May</x:v>
      </x:c>
      <x:c r="I404" s="22" t="n">
        <x:f>MONTH(D404)</x:f>
        <x:v>5</x:v>
      </x:c>
      <x:c r="J404" s="22" t="n">
        <x:f>YEAR(D404)</x:f>
        <x:v>2022</x:v>
      </x:c>
      <x:c r="K404" t="str">
        <x:f>IF(F404&gt;200,"Large Order","Standard Order")</x:f>
        <x:v>Standard Order</x:v>
      </x:c>
    </x:row>
    <x:row r="405">
      <x:c r="A405" t="str">
        <x:v>Barr Faughny</x:v>
      </x:c>
      <x:c r="B405" t="str">
        <x:v>India</x:v>
      </x:c>
      <x:c r="C405" t="str">
        <x:v>Drinking Coco</x:v>
      </x:c>
      <x:c r="D405" s="14" t="n">
        <x:v>44589</x:v>
      </x:c>
      <x:c r="E405" s="16" t="n">
        <x:v>2219</x:v>
      </x:c>
      <x:c r="F405" s="18" t="n">
        <x:v>142</x:v>
      </x:c>
      <x:c r="G405" s="20" t="n">
        <x:f>IFERROR(E405/F405,0)</x:f>
        <x:v>15.626760563380282</x:v>
      </x:c>
      <x:c r="H405" t="str">
        <x:f>TEXT(D405,"mmm")</x:f>
        <x:v>Jan</x:v>
      </x:c>
      <x:c r="I405" s="22" t="n">
        <x:f>MONTH(D405)</x:f>
        <x:v>1</x:v>
      </x:c>
      <x:c r="J405" s="22" t="n">
        <x:f>YEAR(D405)</x:f>
        <x:v>2022</x:v>
      </x:c>
      <x:c r="K405" t="str">
        <x:f>IF(F405&gt;200,"Large Order","Standard Order")</x:f>
        <x:v>Standard Order</x:v>
      </x:c>
    </x:row>
    <x:row r="406">
      <x:c r="A406" t="str">
        <x:v>Marney O'Breen</x:v>
      </x:c>
      <x:c r="B406" t="str">
        <x:v>UK</x:v>
      </x:c>
      <x:c r="C406" t="str">
        <x:v>Orange Choco</x:v>
      </x:c>
      <x:c r="D406" s="14" t="n">
        <x:v>44718</x:v>
      </x:c>
      <x:c r="E406" s="16" t="n">
        <x:v>11319</x:v>
      </x:c>
      <x:c r="F406" s="18" t="n">
        <x:v>12</x:v>
      </x:c>
      <x:c r="G406" s="20" t="n">
        <x:f>IFERROR(E406/F406,0)</x:f>
        <x:v>943.25</x:v>
      </x:c>
      <x:c r="H406" t="str">
        <x:f>TEXT(D406,"mmm")</x:f>
        <x:v>Jun</x:v>
      </x:c>
      <x:c r="I406" s="22" t="n">
        <x:f>MONTH(D406)</x:f>
        <x:v>6</x:v>
      </x:c>
      <x:c r="J406" s="22" t="n">
        <x:f>YEAR(D406)</x:f>
        <x:v>2022</x:v>
      </x:c>
      <x:c r="K406" t="str">
        <x:f>IF(F406&gt;200,"Large Order","Standard Order")</x:f>
        <x:v>Standard Order</x:v>
      </x:c>
    </x:row>
    <x:row r="407">
      <x:c r="A407" t="str">
        <x:v>Brien Boise</x:v>
      </x:c>
      <x:c r="B407" t="str">
        <x:v>New Zealand</x:v>
      </x:c>
      <x:c r="C407" t="str">
        <x:v>Baker's Choco Chips</x:v>
      </x:c>
      <x:c r="D407" s="14" t="n">
        <x:v>44754</x:v>
      </x:c>
      <x:c r="E407" s="16" t="n">
        <x:v>5978</x:v>
      </x:c>
      <x:c r="F407" s="18" t="n">
        <x:v>24</x:v>
      </x:c>
      <x:c r="G407" s="20" t="n">
        <x:f>IFERROR(E407/F407,0)</x:f>
        <x:v>249.08333333333334</x:v>
      </x:c>
      <x:c r="H407" t="str">
        <x:f>TEXT(D407,"mmm")</x:f>
        <x:v>Jul</x:v>
      </x:c>
      <x:c r="I407" s="22" t="n">
        <x:f>MONTH(D407)</x:f>
        <x:v>7</x:v>
      </x:c>
      <x:c r="J407" s="22" t="n">
        <x:f>YEAR(D407)</x:f>
        <x:v>2022</x:v>
      </x:c>
      <x:c r="K407" t="str">
        <x:f>IF(F407&gt;200,"Large Order","Standard Order")</x:f>
        <x:v>Standard Order</x:v>
      </x:c>
    </x:row>
    <x:row r="408">
      <x:c r="A408" t="str">
        <x:v>Ches Bonnell</x:v>
      </x:c>
      <x:c r="B408" t="str">
        <x:v>Canada</x:v>
      </x:c>
      <x:c r="C408" t="str">
        <x:v>Spicy Special Slims</x:v>
      </x:c>
      <x:c r="D408" s="14" t="n">
        <x:v>44778</x:v>
      </x:c>
      <x:c r="E408" s="16" t="n">
        <x:v>5327</x:v>
      </x:c>
      <x:c r="F408" s="18" t="n">
        <x:v>183</x:v>
      </x:c>
      <x:c r="G408" s="20" t="n">
        <x:f>IFERROR(E408/F408,0)</x:f>
        <x:v>29.10928961748634</x:v>
      </x:c>
      <x:c r="H408" t="str">
        <x:f>TEXT(D408,"mmm")</x:f>
        <x:v>Aug</x:v>
      </x:c>
      <x:c r="I408" s="22" t="n">
        <x:f>MONTH(D408)</x:f>
        <x:v>8</x:v>
      </x:c>
      <x:c r="J408" s="22" t="n">
        <x:f>YEAR(D408)</x:f>
        <x:v>2022</x:v>
      </x:c>
      <x:c r="K408" t="str">
        <x:f>IF(F408&gt;200,"Large Order","Standard Order")</x:f>
        <x:v>Standard Order</x:v>
      </x:c>
    </x:row>
    <x:row r="409">
      <x:c r="A409" t="str">
        <x:v>Brien Boise</x:v>
      </x:c>
      <x:c r="B409" t="str">
        <x:v>USA</x:v>
      </x:c>
      <x:c r="C409" t="str">
        <x:v>Orange Choco</x:v>
      </x:c>
      <x:c r="D409" s="14" t="n">
        <x:v>44589</x:v>
      </x:c>
      <x:c r="E409" s="16" t="n">
        <x:v>6020</x:v>
      </x:c>
      <x:c r="F409" s="18" t="n">
        <x:v>147</x:v>
      </x:c>
      <x:c r="G409" s="20" t="n">
        <x:f>IFERROR(E409/F409,0)</x:f>
        <x:v>40.95238095238095</x:v>
      </x:c>
      <x:c r="H409" t="str">
        <x:f>TEXT(D409,"mmm")</x:f>
        <x:v>Jan</x:v>
      </x:c>
      <x:c r="I409" s="22" t="n">
        <x:f>MONTH(D409)</x:f>
        <x:v>1</x:v>
      </x:c>
      <x:c r="J409" s="22" t="n">
        <x:f>YEAR(D409)</x:f>
        <x:v>2022</x:v>
      </x:c>
      <x:c r="K409" t="str">
        <x:f>IF(F409&gt;200,"Large Order","Standard Order")</x:f>
        <x:v>Standard Order</x:v>
      </x:c>
    </x:row>
    <x:row r="410">
      <x:c r="A410" t="str">
        <x:v>Kaine Padly</x:v>
      </x:c>
      <x:c r="B410" t="str">
        <x:v>India</x:v>
      </x:c>
      <x:c r="C410" t="str">
        <x:v>Spicy Special Slims</x:v>
      </x:c>
      <x:c r="D410" s="14" t="n">
        <x:v>44804</x:v>
      </x:c>
      <x:c r="E410" s="16" t="n">
        <x:v>5614</x:v>
      </x:c>
      <x:c r="F410" s="18" t="n">
        <x:v>137</x:v>
      </x:c>
      <x:c r="G410" s="20" t="n">
        <x:f>IFERROR(E410/F410,0)</x:f>
        <x:v>40.97810218978102</x:v>
      </x:c>
      <x:c r="H410" t="str">
        <x:f>TEXT(D410,"mmm")</x:f>
        <x:v>Aug</x:v>
      </x:c>
      <x:c r="I410" s="22" t="n">
        <x:f>MONTH(D410)</x:f>
        <x:v>8</x:v>
      </x:c>
      <x:c r="J410" s="22" t="n">
        <x:f>YEAR(D410)</x:f>
        <x:v>2022</x:v>
      </x:c>
      <x:c r="K410" t="str">
        <x:f>IF(F410&gt;200,"Large Order","Standard Order")</x:f>
        <x:v>Standard Order</x:v>
      </x:c>
    </x:row>
    <x:row r="411">
      <x:c r="A411" t="str">
        <x:v>Mallorie Waber</x:v>
      </x:c>
      <x:c r="B411" t="str">
        <x:v>USA</x:v>
      </x:c>
      <x:c r="C411" t="str">
        <x:v>50% Dark Bites</x:v>
      </x:c>
      <x:c r="D411" s="14" t="n">
        <x:v>44670</x:v>
      </x:c>
      <x:c r="E411" s="16" t="n">
        <x:v>1736</x:v>
      </x:c>
      <x:c r="F411" s="18" t="n">
        <x:v>13</x:v>
      </x:c>
      <x:c r="G411" s="20" t="n">
        <x:f>IFERROR(E411/F411,0)</x:f>
        <x:v>133.53846153846155</x:v>
      </x:c>
      <x:c r="H411" t="str">
        <x:f>TEXT(D411,"mmm")</x:f>
        <x:v>Apr</x:v>
      </x:c>
      <x:c r="I411" s="22" t="n">
        <x:f>MONTH(D411)</x:f>
        <x:v>4</x:v>
      </x:c>
      <x:c r="J411" s="22" t="n">
        <x:f>YEAR(D411)</x:f>
        <x:v>2022</x:v>
      </x:c>
      <x:c r="K411" t="str">
        <x:f>IF(F411&gt;200,"Large Order","Standard Order")</x:f>
        <x:v>Standard Order</x:v>
      </x:c>
    </x:row>
    <x:row r="412">
      <x:c r="A412" t="str">
        <x:v>Mallorie Waber</x:v>
      </x:c>
      <x:c r="B412" t="str">
        <x:v>UK</x:v>
      </x:c>
      <x:c r="C412" t="str">
        <x:v>Mint Chip Choco</x:v>
      </x:c>
      <x:c r="D412" s="14" t="n">
        <x:v>44741</x:v>
      </x:c>
      <x:c r="E412" s="16" t="n">
        <x:v>6384</x:v>
      </x:c>
      <x:c r="F412" s="18" t="n">
        <x:v>2</x:v>
      </x:c>
      <x:c r="G412" s="20" t="n">
        <x:f>IFERROR(E412/F412,0)</x:f>
        <x:v>3192</x:v>
      </x:c>
      <x:c r="H412" t="str">
        <x:f>TEXT(D412,"mmm")</x:f>
        <x:v>Jun</x:v>
      </x:c>
      <x:c r="I412" s="22" t="n">
        <x:f>MONTH(D412)</x:f>
        <x:v>6</x:v>
      </x:c>
      <x:c r="J412" s="22" t="n">
        <x:f>YEAR(D412)</x:f>
        <x:v>2022</x:v>
      </x:c>
      <x:c r="K412" t="str">
        <x:f>IF(F412&gt;200,"Large Order","Standard Order")</x:f>
        <x:v>Standard Order</x:v>
      </x:c>
    </x:row>
    <x:row r="413">
      <x:c r="A413" t="str">
        <x:v>Beverie Moffet</x:v>
      </x:c>
      <x:c r="B413" t="str">
        <x:v>India</x:v>
      </x:c>
      <x:c r="C413" t="str">
        <x:v>Choco Coated Almonds</x:v>
      </x:c>
      <x:c r="D413" s="14" t="n">
        <x:v>44616</x:v>
      </x:c>
      <x:c r="E413" s="16" t="n">
        <x:v>3577</x:v>
      </x:c>
      <x:c r="F413" s="18" t="n">
        <x:v>261</x:v>
      </x:c>
      <x:c r="G413" s="20" t="n">
        <x:f>IFERROR(E413/F413,0)</x:f>
        <x:v>13.704980842911878</x:v>
      </x:c>
      <x:c r="H413" t="str">
        <x:f>TEXT(D413,"mmm")</x:f>
        <x:v>Feb</x:v>
      </x:c>
      <x:c r="I413" s="22" t="n">
        <x:f>MONTH(D413)</x:f>
        <x:v>2</x:v>
      </x:c>
      <x:c r="J413" s="22" t="n">
        <x:f>YEAR(D413)</x:f>
        <x:v>2022</x:v>
      </x:c>
      <x:c r="K413" t="str">
        <x:f>IF(F413&gt;200,"Large Order","Standard Order")</x:f>
        <x:v>Large Order</x:v>
      </x:c>
    </x:row>
    <x:row r="414">
      <x:c r="A414" t="str">
        <x:v>Madelene Upcott</x:v>
      </x:c>
      <x:c r="B414" t="str">
        <x:v>UK</x:v>
      </x:c>
      <x:c r="C414" t="str">
        <x:v>Smooth Silky Salty</x:v>
      </x:c>
      <x:c r="D414" s="14" t="n">
        <x:v>44624</x:v>
      </x:c>
      <x:c r="E414" s="16" t="n">
        <x:v>14539</x:v>
      </x:c>
      <x:c r="F414" s="18" t="n">
        <x:v>84</x:v>
      </x:c>
      <x:c r="G414" s="20" t="n">
        <x:f>IFERROR(E414/F414,0)</x:f>
        <x:v>173.08333333333334</x:v>
      </x:c>
      <x:c r="H414" t="str">
        <x:f>TEXT(D414,"mmm")</x:f>
        <x:v>Mar</x:v>
      </x:c>
      <x:c r="I414" s="22" t="n">
        <x:f>MONTH(D414)</x:f>
        <x:v>3</x:v>
      </x:c>
      <x:c r="J414" s="22" t="n">
        <x:f>YEAR(D414)</x:f>
        <x:v>2022</x:v>
      </x:c>
      <x:c r="K414" t="str">
        <x:f>IF(F414&gt;200,"Large Order","Standard Order")</x:f>
        <x:v>Standard Order</x:v>
      </x:c>
    </x:row>
    <x:row r="415">
      <x:c r="A415" t="str">
        <x:v>Gigi Bohling</x:v>
      </x:c>
      <x:c r="B415" t="str">
        <x:v>India</x:v>
      </x:c>
      <x:c r="C415" t="str">
        <x:v>Eclairs</x:v>
      </x:c>
      <x:c r="D415" s="14" t="n">
        <x:v>44733</x:v>
      </x:c>
      <x:c r="E415" s="16" t="n">
        <x:v>3493</x:v>
      </x:c>
      <x:c r="F415" s="18" t="n">
        <x:v>68</x:v>
      </x:c>
      <x:c r="G415" s="20" t="n">
        <x:f>IFERROR(E415/F415,0)</x:f>
        <x:v>51.36764705882353</x:v>
      </x:c>
      <x:c r="H415" t="str">
        <x:f>TEXT(D415,"mmm")</x:f>
        <x:v>Jun</x:v>
      </x:c>
      <x:c r="I415" s="22" t="n">
        <x:f>MONTH(D415)</x:f>
        <x:v>6</x:v>
      </x:c>
      <x:c r="J415" s="22" t="n">
        <x:f>YEAR(D415)</x:f>
        <x:v>2022</x:v>
      </x:c>
      <x:c r="K415" t="str">
        <x:f>IF(F415&gt;200,"Large Order","Standard Order")</x:f>
        <x:v>Standard Order</x:v>
      </x:c>
    </x:row>
    <x:row r="416">
      <x:c r="A416" t="str">
        <x:v>Rafaelita Blaksland</x:v>
      </x:c>
      <x:c r="B416" t="str">
        <x:v>Australia</x:v>
      </x:c>
      <x:c r="C416" t="str">
        <x:v>Organic Choco Syrup</x:v>
      </x:c>
      <x:c r="D416" s="14" t="n">
        <x:v>44587</x:v>
      </x:c>
      <x:c r="E416" s="16" t="n">
        <x:v>994</x:v>
      </x:c>
      <x:c r="F416" s="18" t="n">
        <x:v>105</x:v>
      </x:c>
      <x:c r="G416" s="20" t="n">
        <x:f>IFERROR(E416/F416,0)</x:f>
        <x:v>9.466666666666667</x:v>
      </x:c>
      <x:c r="H416" t="str">
        <x:f>TEXT(D416,"mmm")</x:f>
        <x:v>Jan</x:v>
      </x:c>
      <x:c r="I416" s="22" t="n">
        <x:f>MONTH(D416)</x:f>
        <x:v>1</x:v>
      </x:c>
      <x:c r="J416" s="22" t="n">
        <x:f>YEAR(D416)</x:f>
        <x:v>2022</x:v>
      </x:c>
      <x:c r="K416" t="str">
        <x:f>IF(F416&gt;200,"Large Order","Standard Order")</x:f>
        <x:v>Standard Order</x:v>
      </x:c>
    </x:row>
    <x:row r="417">
      <x:c r="A417" t="str">
        <x:v>Oby Sorrel</x:v>
      </x:c>
      <x:c r="B417" t="str">
        <x:v>New Zealand</x:v>
      </x:c>
      <x:c r="C417" t="str">
        <x:v>White Choc</x:v>
      </x:c>
      <x:c r="D417" s="14" t="n">
        <x:v>44722</x:v>
      </x:c>
      <x:c r="E417" s="16" t="n">
        <x:v>4361</x:v>
      </x:c>
      <x:c r="F417" s="18" t="n">
        <x:v>40</x:v>
      </x:c>
      <x:c r="G417" s="20" t="n">
        <x:f>IFERROR(E417/F417,0)</x:f>
        <x:v>109.025</x:v>
      </x:c>
      <x:c r="H417" t="str">
        <x:f>TEXT(D417,"mmm")</x:f>
        <x:v>Jun</x:v>
      </x:c>
      <x:c r="I417" s="22" t="n">
        <x:f>MONTH(D417)</x:f>
        <x:v>6</x:v>
      </x:c>
      <x:c r="J417" s="22" t="n">
        <x:f>YEAR(D417)</x:f>
        <x:v>2022</x:v>
      </x:c>
      <x:c r="K417" t="str">
        <x:f>IF(F417&gt;200,"Large Order","Standard Order")</x:f>
        <x:v>Standard Order</x:v>
      </x:c>
    </x:row>
    <x:row r="418">
      <x:c r="A418" t="str">
        <x:v>Andria Kimpton</x:v>
      </x:c>
      <x:c r="B418" t="str">
        <x:v>UK</x:v>
      </x:c>
      <x:c r="C418" t="str">
        <x:v>Drinking Coco</x:v>
      </x:c>
      <x:c r="D418" s="14" t="n">
        <x:v>44704</x:v>
      </x:c>
      <x:c r="E418" s="16" t="n">
        <x:v>1554</x:v>
      </x:c>
      <x:c r="F418" s="18" t="n">
        <x:v>65</x:v>
      </x:c>
      <x:c r="G418" s="20" t="n">
        <x:f>IFERROR(E418/F418,0)</x:f>
        <x:v>23.907692307692308</x:v>
      </x:c>
      <x:c r="H418" t="str">
        <x:f>TEXT(D418,"mmm")</x:f>
        <x:v>May</x:v>
      </x:c>
      <x:c r="I418" s="22" t="n">
        <x:f>MONTH(D418)</x:f>
        <x:v>5</x:v>
      </x:c>
      <x:c r="J418" s="22" t="n">
        <x:f>YEAR(D418)</x:f>
        <x:v>2022</x:v>
      </x:c>
      <x:c r="K418" t="str">
        <x:f>IF(F418&gt;200,"Large Order","Standard Order")</x:f>
        <x:v>Standard Order</x:v>
      </x:c>
    </x:row>
    <x:row r="419">
      <x:c r="A419" t="str">
        <x:v>Kelci Walkden</x:v>
      </x:c>
      <x:c r="B419" t="str">
        <x:v>India</x:v>
      </x:c>
      <x:c r="C419" t="str">
        <x:v>Milk Bars</x:v>
      </x:c>
      <x:c r="D419" s="14" t="n">
        <x:v>44666</x:v>
      </x:c>
      <x:c r="E419" s="16" t="n">
        <x:v>966</x:v>
      </x:c>
      <x:c r="F419" s="18" t="n">
        <x:v>107</x:v>
      </x:c>
      <x:c r="G419" s="20" t="n">
        <x:f>IFERROR(E419/F419,0)</x:f>
        <x:v>9.02803738317757</x:v>
      </x:c>
      <x:c r="H419" t="str">
        <x:f>TEXT(D419,"mmm")</x:f>
        <x:v>Apr</x:v>
      </x:c>
      <x:c r="I419" s="22" t="n">
        <x:f>MONTH(D419)</x:f>
        <x:v>4</x:v>
      </x:c>
      <x:c r="J419" s="22" t="n">
        <x:f>YEAR(D419)</x:f>
        <x:v>2022</x:v>
      </x:c>
      <x:c r="K419" t="str">
        <x:f>IF(F419&gt;200,"Large Order","Standard Order")</x:f>
        <x:v>Standard Order</x:v>
      </x:c>
    </x:row>
    <x:row r="420">
      <x:c r="A420" t="str">
        <x:v>Karlen McCaffrey</x:v>
      </x:c>
      <x:c r="B420" t="str">
        <x:v>New Zealand</x:v>
      </x:c>
      <x:c r="C420" t="str">
        <x:v>Caramel Stuffed Bars</x:v>
      </x:c>
      <x:c r="D420" s="14" t="n">
        <x:v>44592</x:v>
      </x:c>
      <x:c r="E420" s="16" t="n">
        <x:v>5334</x:v>
      </x:c>
      <x:c r="F420" s="18" t="n">
        <x:v>227</x:v>
      </x:c>
      <x:c r="G420" s="20" t="n">
        <x:f>IFERROR(E420/F420,0)</x:f>
        <x:v>23.497797356828194</x:v>
      </x:c>
      <x:c r="H420" t="str">
        <x:f>TEXT(D420,"mmm")</x:f>
        <x:v>Jan</x:v>
      </x:c>
      <x:c r="I420" s="22" t="n">
        <x:f>MONTH(D420)</x:f>
        <x:v>1</x:v>
      </x:c>
      <x:c r="J420" s="22" t="n">
        <x:f>YEAR(D420)</x:f>
        <x:v>2022</x:v>
      </x:c>
      <x:c r="K420" t="str">
        <x:f>IF(F420&gt;200,"Large Order","Standard Order")</x:f>
        <x:v>Large Order</x:v>
      </x:c>
    </x:row>
    <x:row r="421">
      <x:c r="A421" t="str">
        <x:v>Andria Kimpton</x:v>
      </x:c>
      <x:c r="B421" t="str">
        <x:v>New Zealand</x:v>
      </x:c>
      <x:c r="C421" t="str">
        <x:v>Organic Choco Syrup</x:v>
      </x:c>
      <x:c r="D421" s="14" t="n">
        <x:v>44624</x:v>
      </x:c>
      <x:c r="E421" s="16" t="n">
        <x:v>4935</x:v>
      </x:c>
      <x:c r="F421" s="18" t="n">
        <x:v>39</x:v>
      </x:c>
      <x:c r="G421" s="20" t="n">
        <x:f>IFERROR(E421/F421,0)</x:f>
        <x:v>126.53846153846153</x:v>
      </x:c>
      <x:c r="H421" t="str">
        <x:f>TEXT(D421,"mmm")</x:f>
        <x:v>Mar</x:v>
      </x:c>
      <x:c r="I421" s="22" t="n">
        <x:f>MONTH(D421)</x:f>
        <x:v>3</x:v>
      </x:c>
      <x:c r="J421" s="22" t="n">
        <x:f>YEAR(D421)</x:f>
        <x:v>2022</x:v>
      </x:c>
      <x:c r="K421" t="str">
        <x:f>IF(F421&gt;200,"Large Order","Standard Order")</x:f>
        <x:v>Standard Order</x:v>
      </x:c>
    </x:row>
    <x:row r="422">
      <x:c r="A422" t="str">
        <x:v>Barr Faughny</x:v>
      </x:c>
      <x:c r="B422" t="str">
        <x:v>New Zealand</x:v>
      </x:c>
      <x:c r="C422" t="str">
        <x:v>After Nines</x:v>
      </x:c>
      <x:c r="D422" s="14" t="n">
        <x:v>44670</x:v>
      </x:c>
      <x:c r="E422" s="16" t="n">
        <x:v>10024</x:v>
      </x:c>
      <x:c r="F422" s="18" t="n">
        <x:v>84</x:v>
      </x:c>
      <x:c r="G422" s="20" t="n">
        <x:f>IFERROR(E422/F422,0)</x:f>
        <x:v>119.33333333333333</x:v>
      </x:c>
      <x:c r="H422" t="str">
        <x:f>TEXT(D422,"mmm")</x:f>
        <x:v>Apr</x:v>
      </x:c>
      <x:c r="I422" s="22" t="n">
        <x:f>MONTH(D422)</x:f>
        <x:v>4</x:v>
      </x:c>
      <x:c r="J422" s="22" t="n">
        <x:f>YEAR(D422)</x:f>
        <x:v>2022</x:v>
      </x:c>
      <x:c r="K422" t="str">
        <x:f>IF(F422&gt;200,"Large Order","Standard Order")</x:f>
        <x:v>Standard Order</x:v>
      </x:c>
    </x:row>
    <x:row r="423">
      <x:c r="A423" t="str">
        <x:v>Beverie Moffet</x:v>
      </x:c>
      <x:c r="B423" t="str">
        <x:v>UK</x:v>
      </x:c>
      <x:c r="C423" t="str">
        <x:v>Almond Choco</x:v>
      </x:c>
      <x:c r="D423" s="14" t="n">
        <x:v>44697</x:v>
      </x:c>
      <x:c r="E423" s="16" t="n">
        <x:v>2506</x:v>
      </x:c>
      <x:c r="F423" s="18" t="n">
        <x:v>100</x:v>
      </x:c>
      <x:c r="G423" s="20" t="n">
        <x:f>IFERROR(E423/F423,0)</x:f>
        <x:v>25.06</x:v>
      </x:c>
      <x:c r="H423" t="str">
        <x:f>TEXT(D423,"mmm")</x:f>
        <x:v>May</x:v>
      </x:c>
      <x:c r="I423" s="22" t="n">
        <x:f>MONTH(D423)</x:f>
        <x:v>5</x:v>
      </x:c>
      <x:c r="J423" s="22" t="n">
        <x:f>YEAR(D423)</x:f>
        <x:v>2022</x:v>
      </x:c>
      <x:c r="K423" t="str">
        <x:f>IF(F423&gt;200,"Large Order","Standard Order")</x:f>
        <x:v>Standard Order</x:v>
      </x:c>
    </x:row>
    <x:row r="424">
      <x:c r="A424" t="str">
        <x:v>Oby Sorrel</x:v>
      </x:c>
      <x:c r="B424" t="str">
        <x:v>Australia</x:v>
      </x:c>
      <x:c r="C424" t="str">
        <x:v>Raspberry Choco</x:v>
      </x:c>
      <x:c r="D424" s="14" t="n">
        <x:v>44609</x:v>
      </x:c>
      <x:c r="E424" s="16" t="n">
        <x:v>1043</x:v>
      </x:c>
      <x:c r="F424" s="18" t="n">
        <x:v>120</x:v>
      </x:c>
      <x:c r="G424" s="20" t="n">
        <x:f>IFERROR(E424/F424,0)</x:f>
        <x:v>8.691666666666666</x:v>
      </x:c>
      <x:c r="H424" t="str">
        <x:f>TEXT(D424,"mmm")</x:f>
        <x:v>Feb</x:v>
      </x:c>
      <x:c r="I424" s="22" t="n">
        <x:f>MONTH(D424)</x:f>
        <x:v>2</x:v>
      </x:c>
      <x:c r="J424" s="22" t="n">
        <x:f>YEAR(D424)</x:f>
        <x:v>2022</x:v>
      </x:c>
      <x:c r="K424" t="str">
        <x:f>IF(F424&gt;200,"Large Order","Standard Order")</x:f>
        <x:v>Standard Order</x:v>
      </x:c>
    </x:row>
    <x:row r="425">
      <x:c r="A425" t="str">
        <x:v>Dennison Crosswaite</x:v>
      </x:c>
      <x:c r="B425" t="str">
        <x:v>USA</x:v>
      </x:c>
      <x:c r="C425" t="str">
        <x:v>Raspberry Choco</x:v>
      </x:c>
      <x:c r="D425" s="14" t="n">
        <x:v>44579</x:v>
      </x:c>
      <x:c r="E425" s="16" t="n">
        <x:v>6524</x:v>
      </x:c>
      <x:c r="F425" s="18" t="n">
        <x:v>257</x:v>
      </x:c>
      <x:c r="G425" s="20" t="n">
        <x:f>IFERROR(E425/F425,0)</x:f>
        <x:v>25.3852140077821</x:v>
      </x:c>
      <x:c r="H425" t="str">
        <x:f>TEXT(D425,"mmm")</x:f>
        <x:v>Jan</x:v>
      </x:c>
      <x:c r="I425" s="22" t="n">
        <x:f>MONTH(D425)</x:f>
        <x:v>1</x:v>
      </x:c>
      <x:c r="J425" s="22" t="n">
        <x:f>YEAR(D425)</x:f>
        <x:v>2022</x:v>
      </x:c>
      <x:c r="K425" t="str">
        <x:f>IF(F425&gt;200,"Large Order","Standard Order")</x:f>
        <x:v>Large Order</x:v>
      </x:c>
    </x:row>
    <x:row r="426">
      <x:c r="A426" t="str">
        <x:v>Roddy Speechley</x:v>
      </x:c>
      <x:c r="B426" t="str">
        <x:v>Canada</x:v>
      </x:c>
      <x:c r="C426" t="str">
        <x:v>Orange Choco</x:v>
      </x:c>
      <x:c r="D426" s="14" t="n">
        <x:v>44601</x:v>
      </x:c>
      <x:c r="E426" s="16" t="n">
        <x:v>8148</x:v>
      </x:c>
      <x:c r="F426" s="18" t="n">
        <x:v>85</x:v>
      </x:c>
      <x:c r="G426" s="20" t="n">
        <x:f>IFERROR(E426/F426,0)</x:f>
        <x:v>95.85882352941177</x:v>
      </x:c>
      <x:c r="H426" t="str">
        <x:f>TEXT(D426,"mmm")</x:f>
        <x:v>Feb</x:v>
      </x:c>
      <x:c r="I426" s="22" t="n">
        <x:f>MONTH(D426)</x:f>
        <x:v>2</x:v>
      </x:c>
      <x:c r="J426" s="22" t="n">
        <x:f>YEAR(D426)</x:f>
        <x:v>2022</x:v>
      </x:c>
      <x:c r="K426" t="str">
        <x:f>IF(F426&gt;200,"Large Order","Standard Order")</x:f>
        <x:v>Standard Order</x:v>
      </x:c>
    </x:row>
    <x:row r="427">
      <x:c r="A427" t="str">
        <x:v>Mallorie Waber</x:v>
      </x:c>
      <x:c r="B427" t="str">
        <x:v>Canada</x:v>
      </x:c>
      <x:c r="C427" t="str">
        <x:v>Orange Choco</x:v>
      </x:c>
      <x:c r="D427" s="14" t="n">
        <x:v>44643</x:v>
      </x:c>
      <x:c r="E427" s="16" t="n">
        <x:v>3577</x:v>
      </x:c>
      <x:c r="F427" s="18" t="n">
        <x:v>178</x:v>
      </x:c>
      <x:c r="G427" s="20" t="n">
        <x:f>IFERROR(E427/F427,0)</x:f>
        <x:v>20.09550561797753</x:v>
      </x:c>
      <x:c r="H427" t="str">
        <x:f>TEXT(D427,"mmm")</x:f>
        <x:v>Mar</x:v>
      </x:c>
      <x:c r="I427" s="22" t="n">
        <x:f>MONTH(D427)</x:f>
        <x:v>3</x:v>
      </x:c>
      <x:c r="J427" s="22" t="n">
        <x:f>YEAR(D427)</x:f>
        <x:v>2022</x:v>
      </x:c>
      <x:c r="K427" t="str">
        <x:f>IF(F427&gt;200,"Large Order","Standard Order")</x:f>
        <x:v>Standard Order</x:v>
      </x:c>
    </x:row>
    <x:row r="428">
      <x:c r="A428" t="str">
        <x:v>Madelene Upcott</x:v>
      </x:c>
      <x:c r="B428" t="str">
        <x:v>New Zealand</x:v>
      </x:c>
      <x:c r="C428" t="str">
        <x:v>Caramel Stuffed Bars</x:v>
      </x:c>
      <x:c r="D428" s="14" t="n">
        <x:v>44593</x:v>
      </x:c>
      <x:c r="E428" s="16" t="n">
        <x:v>3374</x:v>
      </x:c>
      <x:c r="F428" s="18" t="n">
        <x:v>151</x:v>
      </x:c>
      <x:c r="G428" s="20" t="n">
        <x:f>IFERROR(E428/F428,0)</x:f>
        <x:v>22.344370860927153</x:v>
      </x:c>
      <x:c r="H428" t="str">
        <x:f>TEXT(D428,"mmm")</x:f>
        <x:v>Feb</x:v>
      </x:c>
      <x:c r="I428" s="22" t="n">
        <x:f>MONTH(D428)</x:f>
        <x:v>2</x:v>
      </x:c>
      <x:c r="J428" s="22" t="n">
        <x:f>YEAR(D428)</x:f>
        <x:v>2022</x:v>
      </x:c>
      <x:c r="K428" t="str">
        <x:f>IF(F428&gt;200,"Large Order","Standard Order")</x:f>
        <x:v>Standard Order</x:v>
      </x:c>
    </x:row>
    <x:row r="429">
      <x:c r="A429" t="str">
        <x:v>Mallorie Waber</x:v>
      </x:c>
      <x:c r="B429" t="str">
        <x:v>India</x:v>
      </x:c>
      <x:c r="C429" t="str">
        <x:v>Drinking Coco</x:v>
      </x:c>
      <x:c r="D429" s="14" t="n">
        <x:v>44627</x:v>
      </x:c>
      <x:c r="E429" s="16" t="n">
        <x:v>3948</x:v>
      </x:c>
      <x:c r="F429" s="18" t="n">
        <x:v>142</x:v>
      </x:c>
      <x:c r="G429" s="20" t="n">
        <x:f>IFERROR(E429/F429,0)</x:f>
        <x:v>27.802816901408452</x:v>
      </x:c>
      <x:c r="H429" t="str">
        <x:f>TEXT(D429,"mmm")</x:f>
        <x:v>Mar</x:v>
      </x:c>
      <x:c r="I429" s="22" t="n">
        <x:f>MONTH(D429)</x:f>
        <x:v>3</x:v>
      </x:c>
      <x:c r="J429" s="22" t="n">
        <x:f>YEAR(D429)</x:f>
        <x:v>2022</x:v>
      </x:c>
      <x:c r="K429" t="str">
        <x:f>IF(F429&gt;200,"Large Order","Standard Order")</x:f>
        <x:v>Standard Order</x:v>
      </x:c>
    </x:row>
    <x:row r="430">
      <x:c r="A430" t="str">
        <x:v>Ches Bonnell</x:v>
      </x:c>
      <x:c r="B430" t="str">
        <x:v>UK</x:v>
      </x:c>
      <x:c r="C430" t="str">
        <x:v>White Choc</x:v>
      </x:c>
      <x:c r="D430" s="14" t="n">
        <x:v>44564</x:v>
      </x:c>
      <x:c r="E430" s="16" t="n">
        <x:v>3269</x:v>
      </x:c>
      <x:c r="F430" s="18" t="n">
        <x:v>226</x:v>
      </x:c>
      <x:c r="G430" s="20" t="n">
        <x:f>IFERROR(E430/F430,0)</x:f>
        <x:v>14.464601769911505</x:v>
      </x:c>
      <x:c r="H430" t="str">
        <x:f>TEXT(D430,"mmm")</x:f>
        <x:v>Jan</x:v>
      </x:c>
      <x:c r="I430" s="22" t="n">
        <x:f>MONTH(D430)</x:f>
        <x:v>1</x:v>
      </x:c>
      <x:c r="J430" s="22" t="n">
        <x:f>YEAR(D430)</x:f>
        <x:v>2022</x:v>
      </x:c>
      <x:c r="K430" t="str">
        <x:f>IF(F430&gt;200,"Large Order","Standard Order")</x:f>
        <x:v>Large Order</x:v>
      </x:c>
    </x:row>
    <x:row r="431">
      <x:c r="A431" t="str">
        <x:v>Ches Bonnell</x:v>
      </x:c>
      <x:c r="B431" t="str">
        <x:v>USA</x:v>
      </x:c>
      <x:c r="C431" t="str">
        <x:v>White Choc</x:v>
      </x:c>
      <x:c r="D431" s="14" t="n">
        <x:v>44603</x:v>
      </x:c>
      <x:c r="E431" s="16" t="n">
        <x:v>5271</x:v>
      </x:c>
      <x:c r="F431" s="18" t="n">
        <x:v>341</x:v>
      </x:c>
      <x:c r="G431" s="20" t="n">
        <x:f>IFERROR(E431/F431,0)</x:f>
        <x:v>15.457478005865102</x:v>
      </x:c>
      <x:c r="H431" t="str">
        <x:f>TEXT(D431,"mmm")</x:f>
        <x:v>Feb</x:v>
      </x:c>
      <x:c r="I431" s="22" t="n">
        <x:f>MONTH(D431)</x:f>
        <x:v>2</x:v>
      </x:c>
      <x:c r="J431" s="22" t="n">
        <x:f>YEAR(D431)</x:f>
        <x:v>2022</x:v>
      </x:c>
      <x:c r="K431" t="str">
        <x:f>IF(F431&gt;200,"Large Order","Standard Order")</x:f>
        <x:v>Large Order</x:v>
      </x:c>
    </x:row>
    <x:row r="432">
      <x:c r="A432" t="str">
        <x:v>Dennison Crosswaite</x:v>
      </x:c>
      <x:c r="B432" t="str">
        <x:v>New Zealand</x:v>
      </x:c>
      <x:c r="C432" t="str">
        <x:v>Orange Choco</x:v>
      </x:c>
      <x:c r="D432" s="14" t="n">
        <x:v>44636</x:v>
      </x:c>
      <x:c r="E432" s="16" t="n">
        <x:v>4571</x:v>
      </x:c>
      <x:c r="F432" s="18" t="n">
        <x:v>140</x:v>
      </x:c>
      <x:c r="G432" s="20" t="n">
        <x:f>IFERROR(E432/F432,0)</x:f>
        <x:v>32.65</x:v>
      </x:c>
      <x:c r="H432" t="str">
        <x:f>TEXT(D432,"mmm")</x:f>
        <x:v>Mar</x:v>
      </x:c>
      <x:c r="I432" s="22" t="n">
        <x:f>MONTH(D432)</x:f>
        <x:v>3</x:v>
      </x:c>
      <x:c r="J432" s="22" t="n">
        <x:f>YEAR(D432)</x:f>
        <x:v>2022</x:v>
      </x:c>
      <x:c r="K432" t="str">
        <x:f>IF(F432&gt;200,"Large Order","Standard Order")</x:f>
        <x:v>Standard Order</x:v>
      </x:c>
    </x:row>
    <x:row r="433">
      <x:c r="A433" t="str">
        <x:v>Dotty Strutley</x:v>
      </x:c>
      <x:c r="B433" t="str">
        <x:v>India</x:v>
      </x:c>
      <x:c r="C433" t="str">
        <x:v>White Choc</x:v>
      </x:c>
      <x:c r="D433" s="14" t="n">
        <x:v>44788</x:v>
      </x:c>
      <x:c r="E433" s="16" t="n">
        <x:v>12327</x:v>
      </x:c>
      <x:c r="F433" s="18" t="n">
        <x:v>330</x:v>
      </x:c>
      <x:c r="G433" s="20" t="n">
        <x:f>IFERROR(E433/F433,0)</x:f>
        <x:v>37.35454545454545</x:v>
      </x:c>
      <x:c r="H433" t="str">
        <x:f>TEXT(D433,"mmm")</x:f>
        <x:v>Aug</x:v>
      </x:c>
      <x:c r="I433" s="22" t="n">
        <x:f>MONTH(D433)</x:f>
        <x:v>8</x:v>
      </x:c>
      <x:c r="J433" s="22" t="n">
        <x:f>YEAR(D433)</x:f>
        <x:v>2022</x:v>
      </x:c>
      <x:c r="K433" t="str">
        <x:f>IF(F433&gt;200,"Large Order","Standard Order")</x:f>
        <x:v>Large Order</x:v>
      </x:c>
    </x:row>
    <x:row r="434">
      <x:c r="A434" t="str">
        <x:v>Gigi Bohling</x:v>
      </x:c>
      <x:c r="B434" t="str">
        <x:v>India</x:v>
      </x:c>
      <x:c r="C434" t="str">
        <x:v>Manuka Honey Choco</x:v>
      </x:c>
      <x:c r="D434" s="14" t="n">
        <x:v>44693</x:v>
      </x:c>
      <x:c r="E434" s="16" t="n">
        <x:v>4935</x:v>
      </x:c>
      <x:c r="F434" s="18" t="n">
        <x:v>73</x:v>
      </x:c>
      <x:c r="G434" s="20" t="n">
        <x:f>IFERROR(E434/F434,0)</x:f>
        <x:v>67.6027397260274</x:v>
      </x:c>
      <x:c r="H434" t="str">
        <x:f>TEXT(D434,"mmm")</x:f>
        <x:v>May</x:v>
      </x:c>
      <x:c r="I434" s="22" t="n">
        <x:f>MONTH(D434)</x:f>
        <x:v>5</x:v>
      </x:c>
      <x:c r="J434" s="22" t="n">
        <x:f>YEAR(D434)</x:f>
        <x:v>2022</x:v>
      </x:c>
      <x:c r="K434" t="str">
        <x:f>IF(F434&gt;200,"Large Order","Standard Order")</x:f>
        <x:v>Standard Order</x:v>
      </x:c>
    </x:row>
    <x:row r="435">
      <x:c r="A435" t="str">
        <x:v>Van Tuxwell</x:v>
      </x:c>
      <x:c r="B435" t="str">
        <x:v>India</x:v>
      </x:c>
      <x:c r="C435" t="str">
        <x:v>Spicy Special Slims</x:v>
      </x:c>
      <x:c r="D435" s="14" t="n">
        <x:v>44662</x:v>
      </x:c>
      <x:c r="E435" s="16" t="n">
        <x:v>6167</x:v>
      </x:c>
      <x:c r="F435" s="18" t="n">
        <x:v>4</x:v>
      </x:c>
      <x:c r="G435" s="20" t="n">
        <x:f>IFERROR(E435/F435,0)</x:f>
        <x:v>1541.75</x:v>
      </x:c>
      <x:c r="H435" t="str">
        <x:f>TEXT(D435,"mmm")</x:f>
        <x:v>Apr</x:v>
      </x:c>
      <x:c r="I435" s="22" t="n">
        <x:f>MONTH(D435)</x:f>
        <x:v>4</x:v>
      </x:c>
      <x:c r="J435" s="22" t="n">
        <x:f>YEAR(D435)</x:f>
        <x:v>2022</x:v>
      </x:c>
      <x:c r="K435" t="str">
        <x:f>IF(F435&gt;200,"Large Order","Standard Order")</x:f>
        <x:v>Standard Order</x:v>
      </x:c>
    </x:row>
    <x:row r="436">
      <x:c r="A436" t="str">
        <x:v>Jan Morforth</x:v>
      </x:c>
      <x:c r="B436" t="str">
        <x:v>New Zealand</x:v>
      </x:c>
      <x:c r="C436" t="str">
        <x:v>Mint Chip Choco</x:v>
      </x:c>
      <x:c r="D436" s="14" t="n">
        <x:v>44742</x:v>
      </x:c>
      <x:c r="E436" s="16" t="n">
        <x:v>18340</x:v>
      </x:c>
      <x:c r="F436" s="18" t="n">
        <x:v>285</x:v>
      </x:c>
      <x:c r="G436" s="20" t="n">
        <x:f>IFERROR(E436/F436,0)</x:f>
        <x:v>64.35087719298245</x:v>
      </x:c>
      <x:c r="H436" t="str">
        <x:f>TEXT(D436,"mmm")</x:f>
        <x:v>Jun</x:v>
      </x:c>
      <x:c r="I436" s="22" t="n">
        <x:f>MONTH(D436)</x:f>
        <x:v>6</x:v>
      </x:c>
      <x:c r="J436" s="22" t="n">
        <x:f>YEAR(D436)</x:f>
        <x:v>2022</x:v>
      </x:c>
      <x:c r="K436" t="str">
        <x:f>IF(F436&gt;200,"Large Order","Standard Order")</x:f>
        <x:v>Large Order</x:v>
      </x:c>
    </x:row>
    <x:row r="437">
      <x:c r="A437" t="str">
        <x:v>Dotty Strutley</x:v>
      </x:c>
      <x:c r="B437" t="str">
        <x:v>New Zealand</x:v>
      </x:c>
      <x:c r="C437" t="str">
        <x:v>White Choc</x:v>
      </x:c>
      <x:c r="D437" s="14" t="n">
        <x:v>44727</x:v>
      </x:c>
      <x:c r="E437" s="16" t="n">
        <x:v>7014</x:v>
      </x:c>
      <x:c r="F437" s="18" t="n">
        <x:v>60</x:v>
      </x:c>
      <x:c r="G437" s="20" t="n">
        <x:f>IFERROR(E437/F437,0)</x:f>
        <x:v>116.9</x:v>
      </x:c>
      <x:c r="H437" t="str">
        <x:f>TEXT(D437,"mmm")</x:f>
        <x:v>Jun</x:v>
      </x:c>
      <x:c r="I437" s="22" t="n">
        <x:f>MONTH(D437)</x:f>
        <x:v>6</x:v>
      </x:c>
      <x:c r="J437" s="22" t="n">
        <x:f>YEAR(D437)</x:f>
        <x:v>2022</x:v>
      </x:c>
      <x:c r="K437" t="str">
        <x:f>IF(F437&gt;200,"Large Order","Standard Order")</x:f>
        <x:v>Standard Order</x:v>
      </x:c>
    </x:row>
    <x:row r="438">
      <x:c r="A438" t="str">
        <x:v>Rafaelita Blaksland</x:v>
      </x:c>
      <x:c r="B438" t="str">
        <x:v>Canada</x:v>
      </x:c>
      <x:c r="C438" t="str">
        <x:v>Caramel Stuffed Bars</x:v>
      </x:c>
      <x:c r="D438" s="14" t="n">
        <x:v>44774</x:v>
      </x:c>
      <x:c r="E438" s="16" t="n">
        <x:v>7119</x:v>
      </x:c>
      <x:c r="F438" s="18" t="n">
        <x:v>101</x:v>
      </x:c>
      <x:c r="G438" s="20" t="n">
        <x:f>IFERROR(E438/F438,0)</x:f>
        <x:v>70.48514851485149</x:v>
      </x:c>
      <x:c r="H438" t="str">
        <x:f>TEXT(D438,"mmm")</x:f>
        <x:v>Aug</x:v>
      </x:c>
      <x:c r="I438" s="22" t="n">
        <x:f>MONTH(D438)</x:f>
        <x:v>8</x:v>
      </x:c>
      <x:c r="J438" s="22" t="n">
        <x:f>YEAR(D438)</x:f>
        <x:v>2022</x:v>
      </x:c>
      <x:c r="K438" t="str">
        <x:f>IF(F438&gt;200,"Large Order","Standard Order")</x:f>
        <x:v>Standard Order</x:v>
      </x:c>
    </x:row>
    <x:row r="439">
      <x:c r="A439" t="str">
        <x:v>Kaine Padly</x:v>
      </x:c>
      <x:c r="B439" t="str">
        <x:v>USA</x:v>
      </x:c>
      <x:c r="C439" t="str">
        <x:v>Milk Bars</x:v>
      </x:c>
      <x:c r="D439" s="14" t="n">
        <x:v>44727</x:v>
      </x:c>
      <x:c r="E439" s="16" t="n">
        <x:v>15491</x:v>
      </x:c>
      <x:c r="F439" s="18" t="n">
        <x:v>58</x:v>
      </x:c>
      <x:c r="G439" s="20" t="n">
        <x:f>IFERROR(E439/F439,0)</x:f>
        <x:v>267.08620689655174</x:v>
      </x:c>
      <x:c r="H439" t="str">
        <x:f>TEXT(D439,"mmm")</x:f>
        <x:v>Jun</x:v>
      </x:c>
      <x:c r="I439" s="22" t="n">
        <x:f>MONTH(D439)</x:f>
        <x:v>6</x:v>
      </x:c>
      <x:c r="J439" s="22" t="n">
        <x:f>YEAR(D439)</x:f>
        <x:v>2022</x:v>
      </x:c>
      <x:c r="K439" t="str">
        <x:f>IF(F439&gt;200,"Large Order","Standard Order")</x:f>
        <x:v>Standard Order</x:v>
      </x:c>
    </x:row>
    <x:row r="440">
      <x:c r="A440" t="str">
        <x:v>Brien Boise</x:v>
      </x:c>
      <x:c r="B440" t="str">
        <x:v>India</x:v>
      </x:c>
      <x:c r="C440" t="str">
        <x:v>After Nines</x:v>
      </x:c>
      <x:c r="D440" s="14" t="n">
        <x:v>44728</x:v>
      </x:c>
      <x:c r="E440" s="16" t="n">
        <x:v>5747</x:v>
      </x:c>
      <x:c r="F440" s="18" t="n">
        <x:v>45</x:v>
      </x:c>
      <x:c r="G440" s="20" t="n">
        <x:f>IFERROR(E440/F440,0)</x:f>
        <x:v>127.71111111111111</x:v>
      </x:c>
      <x:c r="H440" t="str">
        <x:f>TEXT(D440,"mmm")</x:f>
        <x:v>Jun</x:v>
      </x:c>
      <x:c r="I440" s="22" t="n">
        <x:f>MONTH(D440)</x:f>
        <x:v>6</x:v>
      </x:c>
      <x:c r="J440" s="22" t="n">
        <x:f>YEAR(D440)</x:f>
        <x:v>2022</x:v>
      </x:c>
      <x:c r="K440" t="str">
        <x:f>IF(F440&gt;200,"Large Order","Standard Order")</x:f>
        <x:v>Standard Order</x:v>
      </x:c>
    </x:row>
    <x:row r="441">
      <x:c r="A441" t="str">
        <x:v>Oby Sorrel</x:v>
      </x:c>
      <x:c r="B441" t="str">
        <x:v>New Zealand</x:v>
      </x:c>
      <x:c r="C441" t="str">
        <x:v>Raspberry Choco</x:v>
      </x:c>
      <x:c r="D441" s="14" t="n">
        <x:v>44694</x:v>
      </x:c>
      <x:c r="E441" s="16" t="n">
        <x:v>4550</x:v>
      </x:c>
      <x:c r="F441" s="18" t="n">
        <x:v>281</x:v>
      </x:c>
      <x:c r="G441" s="20" t="n">
        <x:f>IFERROR(E441/F441,0)</x:f>
        <x:v>16.19217081850534</x:v>
      </x:c>
      <x:c r="H441" t="str">
        <x:f>TEXT(D441,"mmm")</x:f>
        <x:v>May</x:v>
      </x:c>
      <x:c r="I441" s="22" t="n">
        <x:f>MONTH(D441)</x:f>
        <x:v>5</x:v>
      </x:c>
      <x:c r="J441" s="22" t="n">
        <x:f>YEAR(D441)</x:f>
        <x:v>2022</x:v>
      </x:c>
      <x:c r="K441" t="str">
        <x:f>IF(F441&gt;200,"Large Order","Standard Order")</x:f>
        <x:v>Large Order</x:v>
      </x:c>
    </x:row>
    <x:row r="442">
      <x:c r="A442" t="str">
        <x:v>Dennison Crosswaite</x:v>
      </x:c>
      <x:c r="B442" t="str">
        <x:v>USA</x:v>
      </x:c>
      <x:c r="C442" t="str">
        <x:v>Drinking Coco</x:v>
      </x:c>
      <x:c r="D442" s="14" t="n">
        <x:v>44691</x:v>
      </x:c>
      <x:c r="E442" s="16" t="n">
        <x:v>2191</x:v>
      </x:c>
      <x:c r="F442" s="18" t="n">
        <x:v>138</x:v>
      </x:c>
      <x:c r="G442" s="20" t="n">
        <x:f>IFERROR(E442/F442,0)</x:f>
        <x:v>15.876811594202898</x:v>
      </x:c>
      <x:c r="H442" t="str">
        <x:f>TEXT(D442,"mmm")</x:f>
        <x:v>May</x:v>
      </x:c>
      <x:c r="I442" s="22" t="n">
        <x:f>MONTH(D442)</x:f>
        <x:v>5</x:v>
      </x:c>
      <x:c r="J442" s="22" t="n">
        <x:f>YEAR(D442)</x:f>
        <x:v>2022</x:v>
      </x:c>
      <x:c r="K442" t="str">
        <x:f>IF(F442&gt;200,"Large Order","Standard Order")</x:f>
        <x:v>Standard Order</x:v>
      </x:c>
    </x:row>
    <x:row r="443">
      <x:c r="A443" t="str">
        <x:v>Oby Sorrel</x:v>
      </x:c>
      <x:c r="B443" t="str">
        <x:v>India</x:v>
      </x:c>
      <x:c r="C443" t="str">
        <x:v>Eclairs</x:v>
      </x:c>
      <x:c r="D443" s="14" t="n">
        <x:v>44798</x:v>
      </x:c>
      <x:c r="E443" s="16" t="n">
        <x:v>5663</x:v>
      </x:c>
      <x:c r="F443" s="18" t="n">
        <x:v>322</x:v>
      </x:c>
      <x:c r="G443" s="20" t="n">
        <x:f>IFERROR(E443/F443,0)</x:f>
        <x:v>17.58695652173913</x:v>
      </x:c>
      <x:c r="H443" t="str">
        <x:f>TEXT(D443,"mmm")</x:f>
        <x:v>Aug</x:v>
      </x:c>
      <x:c r="I443" s="22" t="n">
        <x:f>MONTH(D443)</x:f>
        <x:v>8</x:v>
      </x:c>
      <x:c r="J443" s="22" t="n">
        <x:f>YEAR(D443)</x:f>
        <x:v>2022</x:v>
      </x:c>
      <x:c r="K443" t="str">
        <x:f>IF(F443&gt;200,"Large Order","Standard Order")</x:f>
        <x:v>Large Order</x:v>
      </x:c>
    </x:row>
    <x:row r="444">
      <x:c r="A444" t="str">
        <x:v>Ches Bonnell</x:v>
      </x:c>
      <x:c r="B444" t="str">
        <x:v>New Zealand</x:v>
      </x:c>
      <x:c r="C444" t="str">
        <x:v>Organic Choco Syrup</x:v>
      </x:c>
      <x:c r="D444" s="14" t="n">
        <x:v>44757</x:v>
      </x:c>
      <x:c r="E444" s="16" t="n">
        <x:v>7623</x:v>
      </x:c>
      <x:c r="F444" s="18" t="n">
        <x:v>85</x:v>
      </x:c>
      <x:c r="G444" s="20" t="n">
        <x:f>IFERROR(E444/F444,0)</x:f>
        <x:v>89.68235294117648</x:v>
      </x:c>
      <x:c r="H444" t="str">
        <x:f>TEXT(D444,"mmm")</x:f>
        <x:v>Jul</x:v>
      </x:c>
      <x:c r="I444" s="22" t="n">
        <x:f>MONTH(D444)</x:f>
        <x:v>7</x:v>
      </x:c>
      <x:c r="J444" s="22" t="n">
        <x:f>YEAR(D444)</x:f>
        <x:v>2022</x:v>
      </x:c>
      <x:c r="K444" t="str">
        <x:f>IF(F444&gt;200,"Large Order","Standard Order")</x:f>
        <x:v>Standard Order</x:v>
      </x:c>
    </x:row>
    <x:row r="445">
      <x:c r="A445" t="str">
        <x:v>Gigi Bohling</x:v>
      </x:c>
      <x:c r="B445" t="str">
        <x:v>UK</x:v>
      </x:c>
      <x:c r="C445" t="str">
        <x:v>Baker's Choco Chips</x:v>
      </x:c>
      <x:c r="D445" s="14" t="n">
        <x:v>44697</x:v>
      </x:c>
      <x:c r="E445" s="16" t="n">
        <x:v>9023</x:v>
      </x:c>
      <x:c r="F445" s="18" t="n">
        <x:v>409</x:v>
      </x:c>
      <x:c r="G445" s="20" t="n">
        <x:f>IFERROR(E445/F445,0)</x:f>
        <x:v>22.061124694376527</x:v>
      </x:c>
      <x:c r="H445" t="str">
        <x:f>TEXT(D445,"mmm")</x:f>
        <x:v>May</x:v>
      </x:c>
      <x:c r="I445" s="22" t="n">
        <x:f>MONTH(D445)</x:f>
        <x:v>5</x:v>
      </x:c>
      <x:c r="J445" s="22" t="n">
        <x:f>YEAR(D445)</x:f>
        <x:v>2022</x:v>
      </x:c>
      <x:c r="K445" t="str">
        <x:f>IF(F445&gt;200,"Large Order","Standard Order")</x:f>
        <x:v>Large Order</x:v>
      </x:c>
    </x:row>
    <x:row r="446">
      <x:c r="A446" t="str">
        <x:v>Jan Morforth</x:v>
      </x:c>
      <x:c r="B446" t="str">
        <x:v>Australia</x:v>
      </x:c>
      <x:c r="C446" t="str">
        <x:v>50% Dark Bites</x:v>
      </x:c>
      <x:c r="D446" s="14" t="n">
        <x:v>44726</x:v>
      </x:c>
      <x:c r="E446" s="16" t="n">
        <x:v>3402</x:v>
      </x:c>
      <x:c r="F446" s="18" t="n">
        <x:v>182</x:v>
      </x:c>
      <x:c r="G446" s="20" t="n">
        <x:f>IFERROR(E446/F446,0)</x:f>
        <x:v>18.692307692307693</x:v>
      </x:c>
      <x:c r="H446" t="str">
        <x:f>TEXT(D446,"mmm")</x:f>
        <x:v>Jun</x:v>
      </x:c>
      <x:c r="I446" s="22" t="n">
        <x:f>MONTH(D446)</x:f>
        <x:v>6</x:v>
      </x:c>
      <x:c r="J446" s="22" t="n">
        <x:f>YEAR(D446)</x:f>
        <x:v>2022</x:v>
      </x:c>
      <x:c r="K446" t="str">
        <x:f>IF(F446&gt;200,"Large Order","Standard Order")</x:f>
        <x:v>Standard Order</x:v>
      </x:c>
    </x:row>
    <x:row r="447">
      <x:c r="A447" t="str">
        <x:v>Beverie Moffet</x:v>
      </x:c>
      <x:c r="B447" t="str">
        <x:v>Australia</x:v>
      </x:c>
      <x:c r="C447" t="str">
        <x:v>Smooth Silky Salty</x:v>
      </x:c>
      <x:c r="D447" s="14" t="n">
        <x:v>44586</x:v>
      </x:c>
      <x:c r="E447" s="16" t="n">
        <x:v>10507</x:v>
      </x:c>
      <x:c r="F447" s="18" t="n">
        <x:v>467</x:v>
      </x:c>
      <x:c r="G447" s="20" t="n">
        <x:f>IFERROR(E447/F447,0)</x:f>
        <x:v>22.498929336188436</x:v>
      </x:c>
      <x:c r="H447" t="str">
        <x:f>TEXT(D447,"mmm")</x:f>
        <x:v>Jan</x:v>
      </x:c>
      <x:c r="I447" s="22" t="n">
        <x:f>MONTH(D447)</x:f>
        <x:v>1</x:v>
      </x:c>
      <x:c r="J447" s="22" t="n">
        <x:f>YEAR(D447)</x:f>
        <x:v>2022</x:v>
      </x:c>
      <x:c r="K447" t="str">
        <x:f>IF(F447&gt;200,"Large Order","Standard Order")</x:f>
        <x:v>Large Order</x:v>
      </x:c>
    </x:row>
    <x:row r="448">
      <x:c r="A448" t="str">
        <x:v>Ches Bonnell</x:v>
      </x:c>
      <x:c r="B448" t="str">
        <x:v>USA</x:v>
      </x:c>
      <x:c r="C448" t="str">
        <x:v>Organic Choco Syrup</x:v>
      </x:c>
      <x:c r="D448" s="14" t="n">
        <x:v>44770</x:v>
      </x:c>
      <x:c r="E448" s="16" t="n">
        <x:v>7721</x:v>
      </x:c>
      <x:c r="F448" s="18" t="n">
        <x:v>14</x:v>
      </x:c>
      <x:c r="G448" s="20" t="n">
        <x:f>IFERROR(E448/F448,0)</x:f>
        <x:v>551.5</x:v>
      </x:c>
      <x:c r="H448" t="str">
        <x:f>TEXT(D448,"mmm")</x:f>
        <x:v>Jul</x:v>
      </x:c>
      <x:c r="I448" s="22" t="n">
        <x:f>MONTH(D448)</x:f>
        <x:v>7</x:v>
      </x:c>
      <x:c r="J448" s="22" t="n">
        <x:f>YEAR(D448)</x:f>
        <x:v>2022</x:v>
      </x:c>
      <x:c r="K448" t="str">
        <x:f>IF(F448&gt;200,"Large Order","Standard Order")</x:f>
        <x:v>Standard Order</x:v>
      </x:c>
    </x:row>
    <x:row r="449">
      <x:c r="A449" t="str">
        <x:v>Brien Boise</x:v>
      </x:c>
      <x:c r="B449" t="str">
        <x:v>Canada</x:v>
      </x:c>
      <x:c r="C449" t="str">
        <x:v>Mint Chip Choco</x:v>
      </x:c>
      <x:c r="D449" s="14" t="n">
        <x:v>44589</x:v>
      </x:c>
      <x:c r="E449" s="16" t="n">
        <x:v>5033</x:v>
      </x:c>
      <x:c r="F449" s="18" t="n">
        <x:v>178</x:v>
      </x:c>
      <x:c r="G449" s="20" t="n">
        <x:f>IFERROR(E449/F449,0)</x:f>
        <x:v>28.275280898876403</x:v>
      </x:c>
      <x:c r="H449" t="str">
        <x:f>TEXT(D449,"mmm")</x:f>
        <x:v>Jan</x:v>
      </x:c>
      <x:c r="I449" s="22" t="n">
        <x:f>MONTH(D449)</x:f>
        <x:v>1</x:v>
      </x:c>
      <x:c r="J449" s="22" t="n">
        <x:f>YEAR(D449)</x:f>
        <x:v>2022</x:v>
      </x:c>
      <x:c r="K449" t="str">
        <x:f>IF(F449&gt;200,"Large Order","Standard Order")</x:f>
        <x:v>Standard Order</x:v>
      </x:c>
    </x:row>
    <x:row r="450">
      <x:c r="A450" t="str">
        <x:v>Kaine Padly</x:v>
      </x:c>
      <x:c r="B450" t="str">
        <x:v>UK</x:v>
      </x:c>
      <x:c r="C450" t="str">
        <x:v>Orange Choco</x:v>
      </x:c>
      <x:c r="D450" s="14" t="n">
        <x:v>44741</x:v>
      </x:c>
      <x:c r="E450" s="16" t="n">
        <x:v>1960</x:v>
      </x:c>
      <x:c r="F450" s="18" t="n">
        <x:v>191</x:v>
      </x:c>
      <x:c r="G450" s="20" t="n">
        <x:f>IFERROR(E450/F450,0)</x:f>
        <x:v>10.261780104712042</x:v>
      </x:c>
      <x:c r="H450" t="str">
        <x:f>TEXT(D450,"mmm")</x:f>
        <x:v>Jun</x:v>
      </x:c>
      <x:c r="I450" s="22" t="n">
        <x:f>MONTH(D450)</x:f>
        <x:v>6</x:v>
      </x:c>
      <x:c r="J450" s="22" t="n">
        <x:f>YEAR(D450)</x:f>
        <x:v>2022</x:v>
      </x:c>
      <x:c r="K450" t="str">
        <x:f>IF(F450&gt;200,"Large Order","Standard Order")</x:f>
        <x:v>Standard Order</x:v>
      </x:c>
    </x:row>
    <x:row r="451">
      <x:c r="A451" t="str">
        <x:v>Karlen McCaffrey</x:v>
      </x:c>
      <x:c r="B451" t="str">
        <x:v>Australia</x:v>
      </x:c>
      <x:c r="C451" t="str">
        <x:v>70% Dark Bites</x:v>
      </x:c>
      <x:c r="D451" s="14" t="n">
        <x:v>44736</x:v>
      </x:c>
      <x:c r="E451" s="16" t="n">
        <x:v>238</x:v>
      </x:c>
      <x:c r="F451" s="18" t="n">
        <x:v>317</x:v>
      </x:c>
      <x:c r="G451" s="20" t="n">
        <x:f>IFERROR(E451/F451,0)</x:f>
        <x:v>0.750788643533123</x:v>
      </x:c>
      <x:c r="H451" t="str">
        <x:f>TEXT(D451,"mmm")</x:f>
        <x:v>Jun</x:v>
      </x:c>
      <x:c r="I451" s="22" t="n">
        <x:f>MONTH(D451)</x:f>
        <x:v>6</x:v>
      </x:c>
      <x:c r="J451" s="22" t="n">
        <x:f>YEAR(D451)</x:f>
        <x:v>2022</x:v>
      </x:c>
      <x:c r="K451" t="str">
        <x:f>IF(F451&gt;200,"Large Order","Standard Order")</x:f>
        <x:v>Large Order</x:v>
      </x:c>
    </x:row>
    <x:row r="452">
      <x:c r="A452" t="str">
        <x:v>Gunar Cockshoot</x:v>
      </x:c>
      <x:c r="B452" t="str">
        <x:v>Canada</x:v>
      </x:c>
      <x:c r="C452" t="str">
        <x:v>Mint Chip Choco</x:v>
      </x:c>
      <x:c r="D452" s="14" t="n">
        <x:v>44743</x:v>
      </x:c>
      <x:c r="E452" s="16" t="n">
        <x:v>7756</x:v>
      </x:c>
      <x:c r="F452" s="18" t="n">
        <x:v>410</x:v>
      </x:c>
      <x:c r="G452" s="20" t="n">
        <x:f>IFERROR(E452/F452,0)</x:f>
        <x:v>18.917073170731708</x:v>
      </x:c>
      <x:c r="H452" t="str">
        <x:f>TEXT(D452,"mmm")</x:f>
        <x:v>Jul</x:v>
      </x:c>
      <x:c r="I452" s="22" t="n">
        <x:f>MONTH(D452)</x:f>
        <x:v>7</x:v>
      </x:c>
      <x:c r="J452" s="22" t="n">
        <x:f>YEAR(D452)</x:f>
        <x:v>2022</x:v>
      </x:c>
      <x:c r="K452" t="str">
        <x:f>IF(F452&gt;200,"Large Order","Standard Order")</x:f>
        <x:v>Large Order</x:v>
      </x:c>
    </x:row>
    <x:row r="453">
      <x:c r="A453" t="str">
        <x:v>Roddy Speechley</x:v>
      </x:c>
      <x:c r="B453" t="str">
        <x:v>USA</x:v>
      </x:c>
      <x:c r="C453" t="str">
        <x:v>Peanut Butter Cubes</x:v>
      </x:c>
      <x:c r="D453" s="14" t="n">
        <x:v>44617</x:v>
      </x:c>
      <x:c r="E453" s="16" t="n">
        <x:v>1736</x:v>
      </x:c>
      <x:c r="F453" s="18" t="n">
        <x:v>137</x:v>
      </x:c>
      <x:c r="G453" s="20" t="n">
        <x:f>IFERROR(E453/F453,0)</x:f>
        <x:v>12.671532846715328</x:v>
      </x:c>
      <x:c r="H453" t="str">
        <x:f>TEXT(D453,"mmm")</x:f>
        <x:v>Feb</x:v>
      </x:c>
      <x:c r="I453" s="22" t="n">
        <x:f>MONTH(D453)</x:f>
        <x:v>2</x:v>
      </x:c>
      <x:c r="J453" s="22" t="n">
        <x:f>YEAR(D453)</x:f>
        <x:v>2022</x:v>
      </x:c>
      <x:c r="K453" t="str">
        <x:f>IF(F453&gt;200,"Large Order","Standard Order")</x:f>
        <x:v>Standard Order</x:v>
      </x:c>
    </x:row>
    <x:row r="454">
      <x:c r="A454" t="str">
        <x:v>Curtice Advani</x:v>
      </x:c>
      <x:c r="B454" t="str">
        <x:v>Canada</x:v>
      </x:c>
      <x:c r="C454" t="str">
        <x:v>Smooth Silky Salty</x:v>
      </x:c>
      <x:c r="D454" s="14" t="n">
        <x:v>44774</x:v>
      </x:c>
      <x:c r="E454" s="16" t="n">
        <x:v>2660</x:v>
      </x:c>
      <x:c r="F454" s="18" t="n">
        <x:v>12</x:v>
      </x:c>
      <x:c r="G454" s="20" t="n">
        <x:f>IFERROR(E454/F454,0)</x:f>
        <x:v>221.66666666666666</x:v>
      </x:c>
      <x:c r="H454" t="str">
        <x:f>TEXT(D454,"mmm")</x:f>
        <x:v>Aug</x:v>
      </x:c>
      <x:c r="I454" s="22" t="n">
        <x:f>MONTH(D454)</x:f>
        <x:v>8</x:v>
      </x:c>
      <x:c r="J454" s="22" t="n">
        <x:f>YEAR(D454)</x:f>
        <x:v>2022</x:v>
      </x:c>
      <x:c r="K454" t="str">
        <x:f>IF(F454&gt;200,"Large Order","Standard Order")</x:f>
        <x:v>Standard Order</x:v>
      </x:c>
    </x:row>
    <x:row r="455">
      <x:c r="A455" t="str">
        <x:v>Oby Sorrel</x:v>
      </x:c>
      <x:c r="B455" t="str">
        <x:v>Australia</x:v>
      </x:c>
      <x:c r="C455" t="str">
        <x:v>Milk Bars</x:v>
      </x:c>
      <x:c r="D455" s="14" t="n">
        <x:v>44733</x:v>
      </x:c>
      <x:c r="E455" s="16" t="n">
        <x:v>7672</x:v>
      </x:c>
      <x:c r="F455" s="18" t="n">
        <x:v>254</x:v>
      </x:c>
      <x:c r="G455" s="20" t="n">
        <x:f>IFERROR(E455/F455,0)</x:f>
        <x:v>30.20472440944882</x:v>
      </x:c>
      <x:c r="H455" t="str">
        <x:f>TEXT(D455,"mmm")</x:f>
        <x:v>Jun</x:v>
      </x:c>
      <x:c r="I455" s="22" t="n">
        <x:f>MONTH(D455)</x:f>
        <x:v>6</x:v>
      </x:c>
      <x:c r="J455" s="22" t="n">
        <x:f>YEAR(D455)</x:f>
        <x:v>2022</x:v>
      </x:c>
      <x:c r="K455" t="str">
        <x:f>IF(F455&gt;200,"Large Order","Standard Order")</x:f>
        <x:v>Large Order</x:v>
      </x:c>
    </x:row>
    <x:row r="456">
      <x:c r="A456" t="str">
        <x:v>Camilla Castle</x:v>
      </x:c>
      <x:c r="B456" t="str">
        <x:v>New Zealand</x:v>
      </x:c>
      <x:c r="C456" t="str">
        <x:v>Spicy Special Slims</x:v>
      </x:c>
      <x:c r="D456" s="14" t="n">
        <x:v>44586</x:v>
      </x:c>
      <x:c r="E456" s="16" t="n">
        <x:v>11564</x:v>
      </x:c>
      <x:c r="F456" s="18" t="n">
        <x:v>24</x:v>
      </x:c>
      <x:c r="G456" s="20" t="n">
        <x:f>IFERROR(E456/F456,0)</x:f>
        <x:v>481.8333333333333</x:v>
      </x:c>
      <x:c r="H456" t="str">
        <x:f>TEXT(D456,"mmm")</x:f>
        <x:v>Jan</x:v>
      </x:c>
      <x:c r="I456" s="22" t="n">
        <x:f>MONTH(D456)</x:f>
        <x:v>1</x:v>
      </x:c>
      <x:c r="J456" s="22" t="n">
        <x:f>YEAR(D456)</x:f>
        <x:v>2022</x:v>
      </x:c>
      <x:c r="K456" t="str">
        <x:f>IF(F456&gt;200,"Large Order","Standard Order")</x:f>
        <x:v>Standard Order</x:v>
      </x:c>
    </x:row>
    <x:row r="457">
      <x:c r="A457" t="str">
        <x:v>Gigi Bohling</x:v>
      </x:c>
      <x:c r="B457" t="str">
        <x:v>UK</x:v>
      </x:c>
      <x:c r="C457" t="str">
        <x:v>Milk Bars</x:v>
      </x:c>
      <x:c r="D457" s="14" t="n">
        <x:v>44698</x:v>
      </x:c>
      <x:c r="E457" s="16" t="n">
        <x:v>1365</x:v>
      </x:c>
      <x:c r="F457" s="18" t="n">
        <x:v>232</x:v>
      </x:c>
      <x:c r="G457" s="20" t="n">
        <x:f>IFERROR(E457/F457,0)</x:f>
        <x:v>5.883620689655173</x:v>
      </x:c>
      <x:c r="H457" t="str">
        <x:f>TEXT(D457,"mmm")</x:f>
        <x:v>May</x:v>
      </x:c>
      <x:c r="I457" s="22" t="n">
        <x:f>MONTH(D457)</x:f>
        <x:v>5</x:v>
      </x:c>
      <x:c r="J457" s="22" t="n">
        <x:f>YEAR(D457)</x:f>
        <x:v>2022</x:v>
      </x:c>
      <x:c r="K457" t="str">
        <x:f>IF(F457&gt;200,"Large Order","Standard Order")</x:f>
        <x:v>Large Order</x:v>
      </x:c>
    </x:row>
    <x:row r="458">
      <x:c r="A458" t="str">
        <x:v>Andria Kimpton</x:v>
      </x:c>
      <x:c r="B458" t="str">
        <x:v>Australia</x:v>
      </x:c>
      <x:c r="C458" t="str">
        <x:v>85% Dark Bars</x:v>
      </x:c>
      <x:c r="D458" s="14" t="n">
        <x:v>44796</x:v>
      </x:c>
      <x:c r="E458" s="16" t="n">
        <x:v>4186</x:v>
      </x:c>
      <x:c r="F458" s="18" t="n">
        <x:v>233</x:v>
      </x:c>
      <x:c r="G458" s="20" t="n">
        <x:f>IFERROR(E458/F458,0)</x:f>
        <x:v>17.965665236051503</x:v>
      </x:c>
      <x:c r="H458" t="str">
        <x:f>TEXT(D458,"mmm")</x:f>
        <x:v>Aug</x:v>
      </x:c>
      <x:c r="I458" s="22" t="n">
        <x:f>MONTH(D458)</x:f>
        <x:v>8</x:v>
      </x:c>
      <x:c r="J458" s="22" t="n">
        <x:f>YEAR(D458)</x:f>
        <x:v>2022</x:v>
      </x:c>
      <x:c r="K458" t="str">
        <x:f>IF(F458&gt;200,"Large Order","Standard Order")</x:f>
        <x:v>Large Order</x:v>
      </x:c>
    </x:row>
    <x:row r="459">
      <x:c r="A459" t="str">
        <x:v>Camilla Castle</x:v>
      </x:c>
      <x:c r="B459" t="str">
        <x:v>Australia</x:v>
      </x:c>
      <x:c r="C459" t="str">
        <x:v>Smooth Silky Salty</x:v>
      </x:c>
      <x:c r="D459" s="14" t="n">
        <x:v>44623</x:v>
      </x:c>
      <x:c r="E459" s="16" t="n">
        <x:v>7406</x:v>
      </x:c>
      <x:c r="F459" s="18" t="n">
        <x:v>118</x:v>
      </x:c>
      <x:c r="G459" s="20" t="n">
        <x:f>IFERROR(E459/F459,0)</x:f>
        <x:v>62.76271186440678</x:v>
      </x:c>
      <x:c r="H459" t="str">
        <x:f>TEXT(D459,"mmm")</x:f>
        <x:v>Mar</x:v>
      </x:c>
      <x:c r="I459" s="22" t="n">
        <x:f>MONTH(D459)</x:f>
        <x:v>3</x:v>
      </x:c>
      <x:c r="J459" s="22" t="n">
        <x:f>YEAR(D459)</x:f>
        <x:v>2022</x:v>
      </x:c>
      <x:c r="K459" t="str">
        <x:f>IF(F459&gt;200,"Large Order","Standard Order")</x:f>
        <x:v>Standard Order</x:v>
      </x:c>
    </x:row>
    <x:row r="460">
      <x:c r="A460" t="str">
        <x:v>Roddy Speechley</x:v>
      </x:c>
      <x:c r="B460" t="str">
        <x:v>India</x:v>
      </x:c>
      <x:c r="C460" t="str">
        <x:v>Caramel Stuffed Bars</x:v>
      </x:c>
      <x:c r="D460" s="14" t="n">
        <x:v>44711</x:v>
      </x:c>
      <x:c r="E460" s="16" t="n">
        <x:v>8911</x:v>
      </x:c>
      <x:c r="F460" s="18" t="n">
        <x:v>543</x:v>
      </x:c>
      <x:c r="G460" s="20" t="n">
        <x:f>IFERROR(E460/F460,0)</x:f>
        <x:v>16.410681399631677</x:v>
      </x:c>
      <x:c r="H460" t="str">
        <x:f>TEXT(D460,"mmm")</x:f>
        <x:v>May</x:v>
      </x:c>
      <x:c r="I460" s="22" t="n">
        <x:f>MONTH(D460)</x:f>
        <x:v>5</x:v>
      </x:c>
      <x:c r="J460" s="22" t="n">
        <x:f>YEAR(D460)</x:f>
        <x:v>2022</x:v>
      </x:c>
      <x:c r="K460" t="str">
        <x:f>IF(F460&gt;200,"Large Order","Standard Order")</x:f>
        <x:v>Large Order</x:v>
      </x:c>
    </x:row>
    <x:row r="461">
      <x:c r="A461" t="str">
        <x:v>Karlen McCaffrey</x:v>
      </x:c>
      <x:c r="B461" t="str">
        <x:v>USA</x:v>
      </x:c>
      <x:c r="C461" t="str">
        <x:v>Drinking Coco</x:v>
      </x:c>
      <x:c r="D461" s="14" t="n">
        <x:v>44741</x:v>
      </x:c>
      <x:c r="E461" s="16" t="n">
        <x:v>112</x:v>
      </x:c>
      <x:c r="F461" s="18" t="n">
        <x:v>223</x:v>
      </x:c>
      <x:c r="G461" s="20" t="n">
        <x:f>IFERROR(E461/F461,0)</x:f>
        <x:v>0.5022421524663677</x:v>
      </x:c>
      <x:c r="H461" t="str">
        <x:f>TEXT(D461,"mmm")</x:f>
        <x:v>Jun</x:v>
      </x:c>
      <x:c r="I461" s="22" t="n">
        <x:f>MONTH(D461)</x:f>
        <x:v>6</x:v>
      </x:c>
      <x:c r="J461" s="22" t="n">
        <x:f>YEAR(D461)</x:f>
        <x:v>2022</x:v>
      </x:c>
      <x:c r="K461" t="str">
        <x:f>IF(F461&gt;200,"Large Order","Standard Order")</x:f>
        <x:v>Large Order</x:v>
      </x:c>
    </x:row>
    <x:row r="462">
      <x:c r="A462" t="str">
        <x:v>Andria Kimpton</x:v>
      </x:c>
      <x:c r="B462" t="str">
        <x:v>Canada</x:v>
      </x:c>
      <x:c r="C462" t="str">
        <x:v>Organic Choco Syrup</x:v>
      </x:c>
      <x:c r="D462" s="14" t="n">
        <x:v>44565</x:v>
      </x:c>
      <x:c r="E462" s="16" t="n">
        <x:v>8204</x:v>
      </x:c>
      <x:c r="F462" s="18" t="n">
        <x:v>204</x:v>
      </x:c>
      <x:c r="G462" s="20" t="n">
        <x:f>IFERROR(E462/F462,0)</x:f>
        <x:v>40.21568627450981</x:v>
      </x:c>
      <x:c r="H462" t="str">
        <x:f>TEXT(D462,"mmm")</x:f>
        <x:v>Jan</x:v>
      </x:c>
      <x:c r="I462" s="22" t="n">
        <x:f>MONTH(D462)</x:f>
        <x:v>1</x:v>
      </x:c>
      <x:c r="J462" s="22" t="n">
        <x:f>YEAR(D462)</x:f>
        <x:v>2022</x:v>
      </x:c>
      <x:c r="K462" t="str">
        <x:f>IF(F462&gt;200,"Large Order","Standard Order")</x:f>
        <x:v>Large Order</x:v>
      </x:c>
    </x:row>
    <x:row r="463">
      <x:c r="A463" t="str">
        <x:v>Jehu Rudeforth</x:v>
      </x:c>
      <x:c r="B463" t="str">
        <x:v>Australia</x:v>
      </x:c>
      <x:c r="C463" t="str">
        <x:v>Drinking Coco</x:v>
      </x:c>
      <x:c r="D463" s="14" t="n">
        <x:v>44575</x:v>
      </x:c>
      <x:c r="E463" s="16" t="n">
        <x:v>2611</x:v>
      </x:c>
      <x:c r="F463" s="18" t="n">
        <x:v>65</x:v>
      </x:c>
      <x:c r="G463" s="20" t="n">
        <x:f>IFERROR(E463/F463,0)</x:f>
        <x:v>40.16923076923077</x:v>
      </x:c>
      <x:c r="H463" t="str">
        <x:f>TEXT(D463,"mmm")</x:f>
        <x:v>Jan</x:v>
      </x:c>
      <x:c r="I463" s="22" t="n">
        <x:f>MONTH(D463)</x:f>
        <x:v>1</x:v>
      </x:c>
      <x:c r="J463" s="22" t="n">
        <x:f>YEAR(D463)</x:f>
        <x:v>2022</x:v>
      </x:c>
      <x:c r="K463" t="str">
        <x:f>IF(F463&gt;200,"Large Order","Standard Order")</x:f>
        <x:v>Standard Order</x:v>
      </x:c>
    </x:row>
    <x:row r="464">
      <x:c r="A464" t="str">
        <x:v>Karlen McCaffrey</x:v>
      </x:c>
      <x:c r="B464" t="str">
        <x:v>USA</x:v>
      </x:c>
      <x:c r="C464" t="str">
        <x:v>Mint Chip Choco</x:v>
      </x:c>
      <x:c r="D464" s="14" t="n">
        <x:v>44607</x:v>
      </x:c>
      <x:c r="E464" s="16" t="n">
        <x:v>15652</x:v>
      </x:c>
      <x:c r="F464" s="18" t="n">
        <x:v>53</x:v>
      </x:c>
      <x:c r="G464" s="20" t="n">
        <x:f>IFERROR(E464/F464,0)</x:f>
        <x:v>295.3207547169811</x:v>
      </x:c>
      <x:c r="H464" t="str">
        <x:f>TEXT(D464,"mmm")</x:f>
        <x:v>Feb</x:v>
      </x:c>
      <x:c r="I464" s="22" t="n">
        <x:f>MONTH(D464)</x:f>
        <x:v>2</x:v>
      </x:c>
      <x:c r="J464" s="22" t="n">
        <x:f>YEAR(D464)</x:f>
        <x:v>2022</x:v>
      </x:c>
      <x:c r="K464" t="str">
        <x:f>IF(F464&gt;200,"Large Order","Standard Order")</x:f>
        <x:v>Standard Order</x:v>
      </x:c>
    </x:row>
    <x:row r="465">
      <x:c r="A465" t="str">
        <x:v>Curtice Advani</x:v>
      </x:c>
      <x:c r="B465" t="str">
        <x:v>New Zealand</x:v>
      </x:c>
      <x:c r="C465" t="str">
        <x:v>Spicy Special Slims</x:v>
      </x:c>
      <x:c r="D465" s="14" t="n">
        <x:v>44571</x:v>
      </x:c>
      <x:c r="E465" s="16" t="n">
        <x:v>4074</x:v>
      </x:c>
      <x:c r="F465" s="18" t="n">
        <x:v>469</x:v>
      </x:c>
      <x:c r="G465" s="20" t="n">
        <x:f>IFERROR(E465/F465,0)</x:f>
        <x:v>8.686567164179104</x:v>
      </x:c>
      <x:c r="H465" t="str">
        <x:f>TEXT(D465,"mmm")</x:f>
        <x:v>Jan</x:v>
      </x:c>
      <x:c r="I465" s="22" t="n">
        <x:f>MONTH(D465)</x:f>
        <x:v>1</x:v>
      </x:c>
      <x:c r="J465" s="22" t="n">
        <x:f>YEAR(D465)</x:f>
        <x:v>2022</x:v>
      </x:c>
      <x:c r="K465" t="str">
        <x:f>IF(F465&gt;200,"Large Order","Standard Order")</x:f>
        <x:v>Large Order</x:v>
      </x:c>
    </x:row>
    <x:row r="466">
      <x:c r="A466" t="str">
        <x:v>Madelene Upcott</x:v>
      </x:c>
      <x:c r="B466" t="str">
        <x:v>USA</x:v>
      </x:c>
      <x:c r="C466" t="str">
        <x:v>White Choc</x:v>
      </x:c>
      <x:c r="D466" s="14" t="n">
        <x:v>44685</x:v>
      </x:c>
      <x:c r="E466" s="16" t="n">
        <x:v>12250</x:v>
      </x:c>
      <x:c r="F466" s="18" t="n">
        <x:v>213</x:v>
      </x:c>
      <x:c r="G466" s="20" t="n">
        <x:f>IFERROR(E466/F466,0)</x:f>
        <x:v>57.51173708920188</x:v>
      </x:c>
      <x:c r="H466" t="str">
        <x:f>TEXT(D466,"mmm")</x:f>
        <x:v>May</x:v>
      </x:c>
      <x:c r="I466" s="22" t="n">
        <x:f>MONTH(D466)</x:f>
        <x:v>5</x:v>
      </x:c>
      <x:c r="J466" s="22" t="n">
        <x:f>YEAR(D466)</x:f>
        <x:v>2022</x:v>
      </x:c>
      <x:c r="K466" t="str">
        <x:f>IF(F466&gt;200,"Large Order","Standard Order")</x:f>
        <x:v>Large Order</x:v>
      </x:c>
    </x:row>
    <x:row r="467">
      <x:c r="A467" t="str">
        <x:v>Andria Kimpton</x:v>
      </x:c>
      <x:c r="B467" t="str">
        <x:v>USA</x:v>
      </x:c>
      <x:c r="C467" t="str">
        <x:v>Spicy Special Slims</x:v>
      </x:c>
      <x:c r="D467" s="14" t="n">
        <x:v>44704</x:v>
      </x:c>
      <x:c r="E467" s="16" t="n">
        <x:v>2366</x:v>
      </x:c>
      <x:c r="F467" s="18" t="n">
        <x:v>5</x:v>
      </x:c>
      <x:c r="G467" s="20" t="n">
        <x:f>IFERROR(E467/F467,0)</x:f>
        <x:v>473.2</x:v>
      </x:c>
      <x:c r="H467" t="str">
        <x:f>TEXT(D467,"mmm")</x:f>
        <x:v>May</x:v>
      </x:c>
      <x:c r="I467" s="22" t="n">
        <x:f>MONTH(D467)</x:f>
        <x:v>5</x:v>
      </x:c>
      <x:c r="J467" s="22" t="n">
        <x:f>YEAR(D467)</x:f>
        <x:v>2022</x:v>
      </x:c>
      <x:c r="K467" t="str">
        <x:f>IF(F467&gt;200,"Large Order","Standard Order")</x:f>
        <x:v>Standard Order</x:v>
      </x:c>
    </x:row>
    <x:row r="468">
      <x:c r="A468" t="str">
        <x:v>Barr Faughny</x:v>
      </x:c>
      <x:c r="B468" t="str">
        <x:v>New Zealand</x:v>
      </x:c>
      <x:c r="C468" t="str">
        <x:v>Fruit &amp; Nut Bars</x:v>
      </x:c>
      <x:c r="D468" s="14" t="n">
        <x:v>44677</x:v>
      </x:c>
      <x:c r="E468" s="16" t="n">
        <x:v>1687</x:v>
      </x:c>
      <x:c r="F468" s="18" t="n">
        <x:v>147</x:v>
      </x:c>
      <x:c r="G468" s="20" t="n">
        <x:f>IFERROR(E468/F468,0)</x:f>
        <x:v>11.476190476190476</x:v>
      </x:c>
      <x:c r="H468" t="str">
        <x:f>TEXT(D468,"mmm")</x:f>
        <x:v>Apr</x:v>
      </x:c>
      <x:c r="I468" s="22" t="n">
        <x:f>MONTH(D468)</x:f>
        <x:v>4</x:v>
      </x:c>
      <x:c r="J468" s="22" t="n">
        <x:f>YEAR(D468)</x:f>
        <x:v>2022</x:v>
      </x:c>
      <x:c r="K468" t="str">
        <x:f>IF(F468&gt;200,"Large Order","Standard Order")</x:f>
        <x:v>Standard Order</x:v>
      </x:c>
    </x:row>
    <x:row r="469">
      <x:c r="A469" t="str">
        <x:v>Oby Sorrel</x:v>
      </x:c>
      <x:c r="B469" t="str">
        <x:v>Canada</x:v>
      </x:c>
      <x:c r="C469" t="str">
        <x:v>Organic Choco Syrup</x:v>
      </x:c>
      <x:c r="D469" s="14" t="n">
        <x:v>44747</x:v>
      </x:c>
      <x:c r="E469" s="16" t="n">
        <x:v>1232</x:v>
      </x:c>
      <x:c r="F469" s="18" t="n">
        <x:v>74</x:v>
      </x:c>
      <x:c r="G469" s="20" t="n">
        <x:f>IFERROR(E469/F469,0)</x:f>
        <x:v>16.64864864864865</x:v>
      </x:c>
      <x:c r="H469" t="str">
        <x:f>TEXT(D469,"mmm")</x:f>
        <x:v>Jul</x:v>
      </x:c>
      <x:c r="I469" s="22" t="n">
        <x:f>MONTH(D469)</x:f>
        <x:v>7</x:v>
      </x:c>
      <x:c r="J469" s="22" t="n">
        <x:f>YEAR(D469)</x:f>
        <x:v>2022</x:v>
      </x:c>
      <x:c r="K469" t="str">
        <x:f>IF(F469&gt;200,"Large Order","Standard Order")</x:f>
        <x:v>Standard Order</x:v>
      </x:c>
    </x:row>
    <x:row r="470">
      <x:c r="A470" t="str">
        <x:v>Madelene Upcott</x:v>
      </x:c>
      <x:c r="B470" t="str">
        <x:v>UK</x:v>
      </x:c>
      <x:c r="C470" t="str">
        <x:v>Organic Choco Syrup</x:v>
      </x:c>
      <x:c r="D470" s="14" t="n">
        <x:v>44763</x:v>
      </x:c>
      <x:c r="E470" s="16" t="n">
        <x:v>6965</x:v>
      </x:c>
      <x:c r="F470" s="18" t="n">
        <x:v>163</x:v>
      </x:c>
      <x:c r="G470" s="20" t="n">
        <x:f>IFERROR(E470/F470,0)</x:f>
        <x:v>42.73006134969325</x:v>
      </x:c>
      <x:c r="H470" t="str">
        <x:f>TEXT(D470,"mmm")</x:f>
        <x:v>Jul</x:v>
      </x:c>
      <x:c r="I470" s="22" t="n">
        <x:f>MONTH(D470)</x:f>
        <x:v>7</x:v>
      </x:c>
      <x:c r="J470" s="22" t="n">
        <x:f>YEAR(D470)</x:f>
        <x:v>2022</x:v>
      </x:c>
      <x:c r="K470" t="str">
        <x:f>IF(F470&gt;200,"Large Order","Standard Order")</x:f>
        <x:v>Standard Order</x:v>
      </x:c>
    </x:row>
    <x:row r="471">
      <x:c r="A471" t="str">
        <x:v>Dotty Strutley</x:v>
      </x:c>
      <x:c r="B471" t="str">
        <x:v>USA</x:v>
      </x:c>
      <x:c r="C471" t="str">
        <x:v>Mint Chip Choco</x:v>
      </x:c>
      <x:c r="D471" s="14" t="n">
        <x:v>44613</x:v>
      </x:c>
      <x:c r="E471" s="16" t="n">
        <x:v>5292</x:v>
      </x:c>
      <x:c r="F471" s="18" t="n">
        <x:v>248</x:v>
      </x:c>
      <x:c r="G471" s="20" t="n">
        <x:f>IFERROR(E471/F471,0)</x:f>
        <x:v>21.338709677419356</x:v>
      </x:c>
      <x:c r="H471" t="str">
        <x:f>TEXT(D471,"mmm")</x:f>
        <x:v>Feb</x:v>
      </x:c>
      <x:c r="I471" s="22" t="n">
        <x:f>MONTH(D471)</x:f>
        <x:v>2</x:v>
      </x:c>
      <x:c r="J471" s="22" t="n">
        <x:f>YEAR(D471)</x:f>
        <x:v>2022</x:v>
      </x:c>
      <x:c r="K471" t="str">
        <x:f>IF(F471&gt;200,"Large Order","Standard Order")</x:f>
        <x:v>Large Order</x:v>
      </x:c>
    </x:row>
    <x:row r="472">
      <x:c r="A472" t="str">
        <x:v>Kelci Walkden</x:v>
      </x:c>
      <x:c r="B472" t="str">
        <x:v>USA</x:v>
      </x:c>
      <x:c r="C472" t="str">
        <x:v>Orange Choco</x:v>
      </x:c>
      <x:c r="D472" s="14" t="n">
        <x:v>44595</x:v>
      </x:c>
      <x:c r="E472" s="16" t="n">
        <x:v>1379</x:v>
      </x:c>
      <x:c r="F472" s="18" t="n">
        <x:v>138</x:v>
      </x:c>
      <x:c r="G472" s="20" t="n">
        <x:f>IFERROR(E472/F472,0)</x:f>
        <x:v>9.992753623188406</x:v>
      </x:c>
      <x:c r="H472" t="str">
        <x:f>TEXT(D472,"mmm")</x:f>
        <x:v>Feb</x:v>
      </x:c>
      <x:c r="I472" s="22" t="n">
        <x:f>MONTH(D472)</x:f>
        <x:v>2</x:v>
      </x:c>
      <x:c r="J472" s="22" t="n">
        <x:f>YEAR(D472)</x:f>
        <x:v>2022</x:v>
      </x:c>
      <x:c r="K472" t="str">
        <x:f>IF(F472&gt;200,"Large Order","Standard Order")</x:f>
        <x:v>Standard Order</x:v>
      </x:c>
    </x:row>
    <x:row r="473">
      <x:c r="A473" t="str">
        <x:v>Gigi Bohling</x:v>
      </x:c>
      <x:c r="B473" t="str">
        <x:v>Australia</x:v>
      </x:c>
      <x:c r="C473" t="str">
        <x:v>Caramel Stuffed Bars</x:v>
      </x:c>
      <x:c r="D473" s="14" t="n">
        <x:v>44750</x:v>
      </x:c>
      <x:c r="E473" s="16" t="n">
        <x:v>8001</x:v>
      </x:c>
      <x:c r="F473" s="18" t="n">
        <x:v>151</x:v>
      </x:c>
      <x:c r="G473" s="20" t="n">
        <x:f>IFERROR(E473/F473,0)</x:f>
        <x:v>52.98675496688742</x:v>
      </x:c>
      <x:c r="H473" t="str">
        <x:f>TEXT(D473,"mmm")</x:f>
        <x:v>Jul</x:v>
      </x:c>
      <x:c r="I473" s="22" t="n">
        <x:f>MONTH(D473)</x:f>
        <x:v>7</x:v>
      </x:c>
      <x:c r="J473" s="22" t="n">
        <x:f>YEAR(D473)</x:f>
        <x:v>2022</x:v>
      </x:c>
      <x:c r="K473" t="str">
        <x:f>IF(F473&gt;200,"Large Order","Standard Order")</x:f>
        <x:v>Standard Order</x:v>
      </x:c>
    </x:row>
    <x:row r="474">
      <x:c r="A474" t="str">
        <x:v>Mallorie Waber</x:v>
      </x:c>
      <x:c r="B474" t="str">
        <x:v>India</x:v>
      </x:c>
      <x:c r="C474" t="str">
        <x:v>50% Dark Bites</x:v>
      </x:c>
      <x:c r="D474" s="14" t="n">
        <x:v>44712</x:v>
      </x:c>
      <x:c r="E474" s="16" t="n">
        <x:v>588</x:v>
      </x:c>
      <x:c r="F474" s="18" t="n">
        <x:v>139</x:v>
      </x:c>
      <x:c r="G474" s="20" t="n">
        <x:f>IFERROR(E474/F474,0)</x:f>
        <x:v>4.23021582733813</x:v>
      </x:c>
      <x:c r="H474" t="str">
        <x:f>TEXT(D474,"mmm")</x:f>
        <x:v>May</x:v>
      </x:c>
      <x:c r="I474" s="22" t="n">
        <x:f>MONTH(D474)</x:f>
        <x:v>5</x:v>
      </x:c>
      <x:c r="J474" s="22" t="n">
        <x:f>YEAR(D474)</x:f>
        <x:v>2022</x:v>
      </x:c>
      <x:c r="K474" t="str">
        <x:f>IF(F474&gt;200,"Large Order","Standard Order")</x:f>
        <x:v>Standard Order</x:v>
      </x:c>
    </x:row>
    <x:row r="475">
      <x:c r="A475" t="str">
        <x:v>Van Tuxwell</x:v>
      </x:c>
      <x:c r="B475" t="str">
        <x:v>New Zealand</x:v>
      </x:c>
      <x:c r="C475" t="str">
        <x:v>Mint Chip Choco</x:v>
      </x:c>
      <x:c r="D475" s="14" t="n">
        <x:v>44739</x:v>
      </x:c>
      <x:c r="E475" s="16" t="n">
        <x:v>4046</x:v>
      </x:c>
      <x:c r="F475" s="18" t="n">
        <x:v>103</x:v>
      </x:c>
      <x:c r="G475" s="20" t="n">
        <x:f>IFERROR(E475/F475,0)</x:f>
        <x:v>39.28155339805825</x:v>
      </x:c>
      <x:c r="H475" t="str">
        <x:f>TEXT(D475,"mmm")</x:f>
        <x:v>Jun</x:v>
      </x:c>
      <x:c r="I475" s="22" t="n">
        <x:f>MONTH(D475)</x:f>
        <x:v>6</x:v>
      </x:c>
      <x:c r="J475" s="22" t="n">
        <x:f>YEAR(D475)</x:f>
        <x:v>2022</x:v>
      </x:c>
      <x:c r="K475" t="str">
        <x:f>IF(F475&gt;200,"Large Order","Standard Order")</x:f>
        <x:v>Standard Order</x:v>
      </x:c>
    </x:row>
    <x:row r="476">
      <x:c r="A476" t="str">
        <x:v>Van Tuxwell</x:v>
      </x:c>
      <x:c r="B476" t="str">
        <x:v>India</x:v>
      </x:c>
      <x:c r="C476" t="str">
        <x:v>50% Dark Bites</x:v>
      </x:c>
      <x:c r="D476" s="14" t="n">
        <x:v>44694</x:v>
      </x:c>
      <x:c r="E476" s="16" t="n">
        <x:v>5103</x:v>
      </x:c>
      <x:c r="F476" s="18" t="n">
        <x:v>129</x:v>
      </x:c>
      <x:c r="G476" s="20" t="n">
        <x:f>IFERROR(E476/F476,0)</x:f>
        <x:v>39.55813953488372</x:v>
      </x:c>
      <x:c r="H476" t="str">
        <x:f>TEXT(D476,"mmm")</x:f>
        <x:v>May</x:v>
      </x:c>
      <x:c r="I476" s="22" t="n">
        <x:f>MONTH(D476)</x:f>
        <x:v>5</x:v>
      </x:c>
      <x:c r="J476" s="22" t="n">
        <x:f>YEAR(D476)</x:f>
        <x:v>2022</x:v>
      </x:c>
      <x:c r="K476" t="str">
        <x:f>IF(F476&gt;200,"Large Order","Standard Order")</x:f>
        <x:v>Standard Order</x:v>
      </x:c>
    </x:row>
    <x:row r="477">
      <x:c r="A477" t="str">
        <x:v>Van Tuxwell</x:v>
      </x:c>
      <x:c r="B477" t="str">
        <x:v>USA</x:v>
      </x:c>
      <x:c r="C477" t="str">
        <x:v>Manuka Honey Choco</x:v>
      </x:c>
      <x:c r="D477" s="14" t="n">
        <x:v>44712</x:v>
      </x:c>
      <x:c r="E477" s="16" t="n">
        <x:v>2317</x:v>
      </x:c>
      <x:c r="F477" s="18" t="n">
        <x:v>102</x:v>
      </x:c>
      <x:c r="G477" s="20" t="n">
        <x:f>IFERROR(E477/F477,0)</x:f>
        <x:v>22.715686274509803</x:v>
      </x:c>
      <x:c r="H477" t="str">
        <x:f>TEXT(D477,"mmm")</x:f>
        <x:v>May</x:v>
      </x:c>
      <x:c r="I477" s="22" t="n">
        <x:f>MONTH(D477)</x:f>
        <x:v>5</x:v>
      </x:c>
      <x:c r="J477" s="22" t="n">
        <x:f>YEAR(D477)</x:f>
        <x:v>2022</x:v>
      </x:c>
      <x:c r="K477" t="str">
        <x:f>IF(F477&gt;200,"Large Order","Standard Order")</x:f>
        <x:v>Standard Order</x:v>
      </x:c>
    </x:row>
    <x:row r="478">
      <x:c r="A478" t="str">
        <x:v>Wilone O'Kielt</x:v>
      </x:c>
      <x:c r="B478" t="str">
        <x:v>USA</x:v>
      </x:c>
      <x:c r="C478" t="str">
        <x:v>Orange Choco</x:v>
      </x:c>
      <x:c r="D478" s="14" t="n">
        <x:v>44620</x:v>
      </x:c>
      <x:c r="E478" s="16" t="n">
        <x:v>7042</x:v>
      </x:c>
      <x:c r="F478" s="18" t="n">
        <x:v>37</x:v>
      </x:c>
      <x:c r="G478" s="20" t="n">
        <x:f>IFERROR(E478/F478,0)</x:f>
        <x:v>190.32432432432432</x:v>
      </x:c>
      <x:c r="H478" t="str">
        <x:f>TEXT(D478,"mmm")</x:f>
        <x:v>Feb</x:v>
      </x:c>
      <x:c r="I478" s="22" t="n">
        <x:f>MONTH(D478)</x:f>
        <x:v>2</x:v>
      </x:c>
      <x:c r="J478" s="22" t="n">
        <x:f>YEAR(D478)</x:f>
        <x:v>2022</x:v>
      </x:c>
      <x:c r="K478" t="str">
        <x:f>IF(F478&gt;200,"Large Order","Standard Order")</x:f>
        <x:v>Standard Order</x:v>
      </x:c>
    </x:row>
    <x:row r="479">
      <x:c r="A479" t="str">
        <x:v>Barr Faughny</x:v>
      </x:c>
      <x:c r="B479" t="str">
        <x:v>New Zealand</x:v>
      </x:c>
      <x:c r="C479" t="str">
        <x:v>Eclairs</x:v>
      </x:c>
      <x:c r="D479" s="14" t="n">
        <x:v>44648</x:v>
      </x:c>
      <x:c r="E479" s="16" t="n">
        <x:v>6713</x:v>
      </x:c>
      <x:c r="F479" s="18" t="n">
        <x:v>31</x:v>
      </x:c>
      <x:c r="G479" s="20" t="n">
        <x:f>IFERROR(E479/F479,0)</x:f>
        <x:v>216.5483870967742</x:v>
      </x:c>
      <x:c r="H479" t="str">
        <x:f>TEXT(D479,"mmm")</x:f>
        <x:v>Mar</x:v>
      </x:c>
      <x:c r="I479" s="22" t="n">
        <x:f>MONTH(D479)</x:f>
        <x:v>3</x:v>
      </x:c>
      <x:c r="J479" s="22" t="n">
        <x:f>YEAR(D479)</x:f>
        <x:v>2022</x:v>
      </x:c>
      <x:c r="K479" t="str">
        <x:f>IF(F479&gt;200,"Large Order","Standard Order")</x:f>
        <x:v>Standard Order</x:v>
      </x:c>
    </x:row>
    <x:row r="480">
      <x:c r="A480" t="str">
        <x:v>Gigi Bohling</x:v>
      </x:c>
      <x:c r="B480" t="str">
        <x:v>USA</x:v>
      </x:c>
      <x:c r="C480" t="str">
        <x:v>After Nines</x:v>
      </x:c>
      <x:c r="D480" s="14" t="n">
        <x:v>44575</x:v>
      </x:c>
      <x:c r="E480" s="16" t="n">
        <x:v>1848</x:v>
      </x:c>
      <x:c r="F480" s="18" t="n">
        <x:v>227</x:v>
      </x:c>
      <x:c r="G480" s="20" t="n">
        <x:f>IFERROR(E480/F480,0)</x:f>
        <x:v>8.140969162995594</x:v>
      </x:c>
      <x:c r="H480" t="str">
        <x:f>TEXT(D480,"mmm")</x:f>
        <x:v>Jan</x:v>
      </x:c>
      <x:c r="I480" s="22" t="n">
        <x:f>MONTH(D480)</x:f>
        <x:v>1</x:v>
      </x:c>
      <x:c r="J480" s="22" t="n">
        <x:f>YEAR(D480)</x:f>
        <x:v>2022</x:v>
      </x:c>
      <x:c r="K480" t="str">
        <x:f>IF(F480&gt;200,"Large Order","Standard Order")</x:f>
        <x:v>Large Order</x:v>
      </x:c>
    </x:row>
    <x:row r="481">
      <x:c r="A481" t="str">
        <x:v>Barr Faughny</x:v>
      </x:c>
      <x:c r="B481" t="str">
        <x:v>New Zealand</x:v>
      </x:c>
      <x:c r="C481" t="str">
        <x:v>Mint Chip Choco</x:v>
      </x:c>
      <x:c r="D481" s="14" t="n">
        <x:v>44613</x:v>
      </x:c>
      <x:c r="E481" s="16" t="n">
        <x:v>6440</x:v>
      </x:c>
      <x:c r="F481" s="18" t="n">
        <x:v>145</x:v>
      </x:c>
      <x:c r="G481" s="20" t="n">
        <x:f>IFERROR(E481/F481,0)</x:f>
        <x:v>44.41379310344828</x:v>
      </x:c>
      <x:c r="H481" t="str">
        <x:f>TEXT(D481,"mmm")</x:f>
        <x:v>Feb</x:v>
      </x:c>
      <x:c r="I481" s="22" t="n">
        <x:f>MONTH(D481)</x:f>
        <x:v>2</x:v>
      </x:c>
      <x:c r="J481" s="22" t="n">
        <x:f>YEAR(D481)</x:f>
        <x:v>2022</x:v>
      </x:c>
      <x:c r="K481" t="str">
        <x:f>IF(F481&gt;200,"Large Order","Standard Order")</x:f>
        <x:v>Standard Order</x:v>
      </x:c>
    </x:row>
    <x:row r="482">
      <x:c r="A482" t="str">
        <x:v>Dennison Crosswaite</x:v>
      </x:c>
      <x:c r="B482" t="str">
        <x:v>Canada</x:v>
      </x:c>
      <x:c r="C482" t="str">
        <x:v>85% Dark Bars</x:v>
      </x:c>
      <x:c r="D482" s="14" t="n">
        <x:v>44774</x:v>
      </x:c>
      <x:c r="E482" s="16" t="n">
        <x:v>10885</x:v>
      </x:c>
      <x:c r="F482" s="18" t="n">
        <x:v>90</x:v>
      </x:c>
      <x:c r="G482" s="20" t="n">
        <x:f>IFERROR(E482/F482,0)</x:f>
        <x:v>120.94444444444444</x:v>
      </x:c>
      <x:c r="H482" t="str">
        <x:f>TEXT(D482,"mmm")</x:f>
        <x:v>Aug</x:v>
      </x:c>
      <x:c r="I482" s="22" t="n">
        <x:f>MONTH(D482)</x:f>
        <x:v>8</x:v>
      </x:c>
      <x:c r="J482" s="22" t="n">
        <x:f>YEAR(D482)</x:f>
        <x:v>2022</x:v>
      </x:c>
      <x:c r="K482" t="str">
        <x:f>IF(F482&gt;200,"Large Order","Standard Order")</x:f>
        <x:v>Standard Order</x:v>
      </x:c>
    </x:row>
    <x:row r="483">
      <x:c r="A483" t="str">
        <x:v>Beverie Moffet</x:v>
      </x:c>
      <x:c r="B483" t="str">
        <x:v>New Zealand</x:v>
      </x:c>
      <x:c r="C483" t="str">
        <x:v>Smooth Silky Salty</x:v>
      </x:c>
      <x:c r="D483" s="14" t="n">
        <x:v>44700</x:v>
      </x:c>
      <x:c r="E483" s="16" t="n">
        <x:v>2387</x:v>
      </x:c>
      <x:c r="F483" s="18" t="n">
        <x:v>59</x:v>
      </x:c>
      <x:c r="G483" s="20" t="n">
        <x:f>IFERROR(E483/F483,0)</x:f>
        <x:v>40.45762711864407</x:v>
      </x:c>
      <x:c r="H483" t="str">
        <x:f>TEXT(D483,"mmm")</x:f>
        <x:v>May</x:v>
      </x:c>
      <x:c r="I483" s="22" t="n">
        <x:f>MONTH(D483)</x:f>
        <x:v>5</x:v>
      </x:c>
      <x:c r="J483" s="22" t="n">
        <x:f>YEAR(D483)</x:f>
        <x:v>2022</x:v>
      </x:c>
      <x:c r="K483" t="str">
        <x:f>IF(F483&gt;200,"Large Order","Standard Order")</x:f>
        <x:v>Standard Order</x:v>
      </x:c>
    </x:row>
    <x:row r="484">
      <x:c r="A484" t="str">
        <x:v>Husein Augar</x:v>
      </x:c>
      <x:c r="B484" t="str">
        <x:v>USA</x:v>
      </x:c>
      <x:c r="C484" t="str">
        <x:v>White Choc</x:v>
      </x:c>
      <x:c r="D484" s="14" t="n">
        <x:v>44755</x:v>
      </x:c>
      <x:c r="E484" s="16" t="n">
        <x:v>2030</x:v>
      </x:c>
      <x:c r="F484" s="18" t="n">
        <x:v>60</x:v>
      </x:c>
      <x:c r="G484" s="20" t="n">
        <x:f>IFERROR(E484/F484,0)</x:f>
        <x:v>33.833333333333336</x:v>
      </x:c>
      <x:c r="H484" t="str">
        <x:f>TEXT(D484,"mmm")</x:f>
        <x:v>Jul</x:v>
      </x:c>
      <x:c r="I484" s="22" t="n">
        <x:f>MONTH(D484)</x:f>
        <x:v>7</x:v>
      </x:c>
      <x:c r="J484" s="22" t="n">
        <x:f>YEAR(D484)</x:f>
        <x:v>2022</x:v>
      </x:c>
      <x:c r="K484" t="str">
        <x:f>IF(F484&gt;200,"Large Order","Standard Order")</x:f>
        <x:v>Standard Order</x:v>
      </x:c>
    </x:row>
    <x:row r="485">
      <x:c r="A485" t="str">
        <x:v>Andria Kimpton</x:v>
      </x:c>
      <x:c r="B485" t="str">
        <x:v>Australia</x:v>
      </x:c>
      <x:c r="C485" t="str">
        <x:v>Peanut Butter Cubes</x:v>
      </x:c>
      <x:c r="D485" s="14" t="n">
        <x:v>44671</x:v>
      </x:c>
      <x:c r="E485" s="16" t="n">
        <x:v>6678</x:v>
      </x:c>
      <x:c r="F485" s="18" t="n">
        <x:v>148</x:v>
      </x:c>
      <x:c r="G485" s="20" t="n">
        <x:f>IFERROR(E485/F485,0)</x:f>
        <x:v>45.12162162162162</x:v>
      </x:c>
      <x:c r="H485" t="str">
        <x:f>TEXT(D485,"mmm")</x:f>
        <x:v>Apr</x:v>
      </x:c>
      <x:c r="I485" s="22" t="n">
        <x:f>MONTH(D485)</x:f>
        <x:v>4</x:v>
      </x:c>
      <x:c r="J485" s="22" t="n">
        <x:f>YEAR(D485)</x:f>
        <x:v>2022</x:v>
      </x:c>
      <x:c r="K485" t="str">
        <x:f>IF(F485&gt;200,"Large Order","Standard Order")</x:f>
        <x:v>Standard Order</x:v>
      </x:c>
    </x:row>
    <x:row r="486">
      <x:c r="A486" t="str">
        <x:v>Dennison Crosswaite</x:v>
      </x:c>
      <x:c r="B486" t="str">
        <x:v>India</x:v>
      </x:c>
      <x:c r="C486" t="str">
        <x:v>85% Dark Bars</x:v>
      </x:c>
      <x:c r="D486" s="14" t="n">
        <x:v>44742</x:v>
      </x:c>
      <x:c r="E486" s="16" t="n">
        <x:v>4515</x:v>
      </x:c>
      <x:c r="F486" s="18" t="n">
        <x:v>22</x:v>
      </x:c>
      <x:c r="G486" s="20" t="n">
        <x:f>IFERROR(E486/F486,0)</x:f>
        <x:v>205.22727272727272</x:v>
      </x:c>
      <x:c r="H486" t="str">
        <x:f>TEXT(D486,"mmm")</x:f>
        <x:v>Jun</x:v>
      </x:c>
      <x:c r="I486" s="22" t="n">
        <x:f>MONTH(D486)</x:f>
        <x:v>6</x:v>
      </x:c>
      <x:c r="J486" s="22" t="n">
        <x:f>YEAR(D486)</x:f>
        <x:v>2022</x:v>
      </x:c>
      <x:c r="K486" t="str">
        <x:f>IF(F486&gt;200,"Large Order","Standard Order")</x:f>
        <x:v>Standard Order</x:v>
      </x:c>
    </x:row>
    <x:row r="487">
      <x:c r="A487" t="str">
        <x:v>Curtice Advani</x:v>
      </x:c>
      <x:c r="B487" t="str">
        <x:v>UK</x:v>
      </x:c>
      <x:c r="C487" t="str">
        <x:v>50% Dark Bites</x:v>
      </x:c>
      <x:c r="D487" s="14" t="n">
        <x:v>44628</x:v>
      </x:c>
      <x:c r="E487" s="16" t="n">
        <x:v>3374</x:v>
      </x:c>
      <x:c r="F487" s="18" t="n">
        <x:v>142</x:v>
      </x:c>
      <x:c r="G487" s="20" t="n">
        <x:f>IFERROR(E487/F487,0)</x:f>
        <x:v>23.760563380281692</x:v>
      </x:c>
      <x:c r="H487" t="str">
        <x:f>TEXT(D487,"mmm")</x:f>
        <x:v>Mar</x:v>
      </x:c>
      <x:c r="I487" s="22" t="n">
        <x:f>MONTH(D487)</x:f>
        <x:v>3</x:v>
      </x:c>
      <x:c r="J487" s="22" t="n">
        <x:f>YEAR(D487)</x:f>
        <x:v>2022</x:v>
      </x:c>
      <x:c r="K487" t="str">
        <x:f>IF(F487&gt;200,"Large Order","Standard Order")</x:f>
        <x:v>Standard Order</x:v>
      </x:c>
    </x:row>
    <x:row r="488">
      <x:c r="A488" t="str">
        <x:v>Gunar Cockshoot</x:v>
      </x:c>
      <x:c r="B488" t="str">
        <x:v>USA</x:v>
      </x:c>
      <x:c r="C488" t="str">
        <x:v>Fruit &amp; Nut Bars</x:v>
      </x:c>
      <x:c r="D488" s="14" t="n">
        <x:v>44629</x:v>
      </x:c>
      <x:c r="E488" s="16" t="n">
        <x:v>5852</x:v>
      </x:c>
      <x:c r="F488" s="18" t="n">
        <x:v>93</x:v>
      </x:c>
      <x:c r="G488" s="20" t="n">
        <x:f>IFERROR(E488/F488,0)</x:f>
        <x:v>62.924731182795696</x:v>
      </x:c>
      <x:c r="H488" t="str">
        <x:f>TEXT(D488,"mmm")</x:f>
        <x:v>Mar</x:v>
      </x:c>
      <x:c r="I488" s="22" t="n">
        <x:f>MONTH(D488)</x:f>
        <x:v>3</x:v>
      </x:c>
      <x:c r="J488" s="22" t="n">
        <x:f>YEAR(D488)</x:f>
        <x:v>2022</x:v>
      </x:c>
      <x:c r="K488" t="str">
        <x:f>IF(F488&gt;200,"Large Order","Standard Order")</x:f>
        <x:v>Standard Order</x:v>
      </x:c>
    </x:row>
    <x:row r="489">
      <x:c r="A489" t="str">
        <x:v>Oby Sorrel</x:v>
      </x:c>
      <x:c r="B489" t="str">
        <x:v>Canada</x:v>
      </x:c>
      <x:c r="C489" t="str">
        <x:v>Raspberry Choco</x:v>
      </x:c>
      <x:c r="D489" s="14" t="n">
        <x:v>44728</x:v>
      </x:c>
      <x:c r="E489" s="16" t="n">
        <x:v>1750</x:v>
      </x:c>
      <x:c r="F489" s="18" t="n">
        <x:v>208</x:v>
      </x:c>
      <x:c r="G489" s="20" t="n">
        <x:f>IFERROR(E489/F489,0)</x:f>
        <x:v>8.413461538461538</x:v>
      </x:c>
      <x:c r="H489" t="str">
        <x:f>TEXT(D489,"mmm")</x:f>
        <x:v>Jun</x:v>
      </x:c>
      <x:c r="I489" s="22" t="n">
        <x:f>MONTH(D489)</x:f>
        <x:v>6</x:v>
      </x:c>
      <x:c r="J489" s="22" t="n">
        <x:f>YEAR(D489)</x:f>
        <x:v>2022</x:v>
      </x:c>
      <x:c r="K489" t="str">
        <x:f>IF(F489&gt;200,"Large Order","Standard Order")</x:f>
        <x:v>Large Order</x:v>
      </x:c>
    </x:row>
    <x:row r="490">
      <x:c r="A490" t="str">
        <x:v>Gigi Bohling</x:v>
      </x:c>
      <x:c r="B490" t="str">
        <x:v>UK</x:v>
      </x:c>
      <x:c r="C490" t="str">
        <x:v>Drinking Coco</x:v>
      </x:c>
      <x:c r="D490" s="14" t="n">
        <x:v>44742</x:v>
      </x:c>
      <x:c r="E490" s="16" t="n">
        <x:v>5782</x:v>
      </x:c>
      <x:c r="F490" s="18" t="n">
        <x:v>42</x:v>
      </x:c>
      <x:c r="G490" s="20" t="n">
        <x:f>IFERROR(E490/F490,0)</x:f>
        <x:v>137.66666666666666</x:v>
      </x:c>
      <x:c r="H490" t="str">
        <x:f>TEXT(D490,"mmm")</x:f>
        <x:v>Jun</x:v>
      </x:c>
      <x:c r="I490" s="22" t="n">
        <x:f>MONTH(D490)</x:f>
        <x:v>6</x:v>
      </x:c>
      <x:c r="J490" s="22" t="n">
        <x:f>YEAR(D490)</x:f>
        <x:v>2022</x:v>
      </x:c>
      <x:c r="K490" t="str">
        <x:f>IF(F490&gt;200,"Large Order","Standard Order")</x:f>
        <x:v>Standard Order</x:v>
      </x:c>
    </x:row>
    <x:row r="491">
      <x:c r="A491" t="str">
        <x:v>Kelci Walkden</x:v>
      </x:c>
      <x:c r="B491" t="str">
        <x:v>India</x:v>
      </x:c>
      <x:c r="C491" t="str">
        <x:v>Mint Chip Choco</x:v>
      </x:c>
      <x:c r="D491" s="14" t="n">
        <x:v>44770</x:v>
      </x:c>
      <x:c r="E491" s="16" t="n">
        <x:v>2870</x:v>
      </x:c>
      <x:c r="F491" s="18" t="n">
        <x:v>120</x:v>
      </x:c>
      <x:c r="G491" s="20" t="n">
        <x:f>IFERROR(E491/F491,0)</x:f>
        <x:v>23.916666666666668</x:v>
      </x:c>
      <x:c r="H491" t="str">
        <x:f>TEXT(D491,"mmm")</x:f>
        <x:v>Jul</x:v>
      </x:c>
      <x:c r="I491" s="22" t="n">
        <x:f>MONTH(D491)</x:f>
        <x:v>7</x:v>
      </x:c>
      <x:c r="J491" s="22" t="n">
        <x:f>YEAR(D491)</x:f>
        <x:v>2022</x:v>
      </x:c>
      <x:c r="K491" t="str">
        <x:f>IF(F491&gt;200,"Large Order","Standard Order")</x:f>
        <x:v>Standard Order</x:v>
      </x:c>
    </x:row>
    <x:row r="492">
      <x:c r="A492" t="str">
        <x:v>Karlen McCaffrey</x:v>
      </x:c>
      <x:c r="B492" t="str">
        <x:v>Canada</x:v>
      </x:c>
      <x:c r="C492" t="str">
        <x:v>Peanut Butter Cubes</x:v>
      </x:c>
      <x:c r="D492" s="14" t="n">
        <x:v>44785</x:v>
      </x:c>
      <x:c r="E492" s="16" t="n">
        <x:v>3094</x:v>
      </x:c>
      <x:c r="F492" s="18" t="n">
        <x:v>159</x:v>
      </x:c>
      <x:c r="G492" s="20" t="n">
        <x:f>IFERROR(E492/F492,0)</x:f>
        <x:v>19.459119496855347</x:v>
      </x:c>
      <x:c r="H492" t="str">
        <x:f>TEXT(D492,"mmm")</x:f>
        <x:v>Aug</x:v>
      </x:c>
      <x:c r="I492" s="22" t="n">
        <x:f>MONTH(D492)</x:f>
        <x:v>8</x:v>
      </x:c>
      <x:c r="J492" s="22" t="n">
        <x:f>YEAR(D492)</x:f>
        <x:v>2022</x:v>
      </x:c>
      <x:c r="K492" t="str">
        <x:f>IF(F492&gt;200,"Large Order","Standard Order")</x:f>
        <x:v>Standard Order</x:v>
      </x:c>
    </x:row>
    <x:row r="493">
      <x:c r="A493" t="str">
        <x:v>Barr Faughny</x:v>
      </x:c>
      <x:c r="B493" t="str">
        <x:v>UK</x:v>
      </x:c>
      <x:c r="C493" t="str">
        <x:v>Mint Chip Choco</x:v>
      </x:c>
      <x:c r="D493" s="14" t="n">
        <x:v>44749</x:v>
      </x:c>
      <x:c r="E493" s="16" t="n">
        <x:v>3724</x:v>
      </x:c>
      <x:c r="F493" s="18" t="n">
        <x:v>316</x:v>
      </x:c>
      <x:c r="G493" s="20" t="n">
        <x:f>IFERROR(E493/F493,0)</x:f>
        <x:v>11.784810126582279</x:v>
      </x:c>
      <x:c r="H493" t="str">
        <x:f>TEXT(D493,"mmm")</x:f>
        <x:v>Jul</x:v>
      </x:c>
      <x:c r="I493" s="22" t="n">
        <x:f>MONTH(D493)</x:f>
        <x:v>7</x:v>
      </x:c>
      <x:c r="J493" s="22" t="n">
        <x:f>YEAR(D493)</x:f>
        <x:v>2022</x:v>
      </x:c>
      <x:c r="K493" t="str">
        <x:f>IF(F493&gt;200,"Large Order","Standard Order")</x:f>
        <x:v>Large Order</x:v>
      </x:c>
    </x:row>
    <x:row r="494">
      <x:c r="A494" t="str">
        <x:v>Barr Faughny</x:v>
      </x:c>
      <x:c r="B494" t="str">
        <x:v>USA</x:v>
      </x:c>
      <x:c r="C494" t="str">
        <x:v>85% Dark Bars</x:v>
      </x:c>
      <x:c r="D494" s="14" t="n">
        <x:v>44798</x:v>
      </x:c>
      <x:c r="E494" s="16" t="n">
        <x:v>12761</x:v>
      </x:c>
      <x:c r="F494" s="18" t="n">
        <x:v>47</x:v>
      </x:c>
      <x:c r="G494" s="20" t="n">
        <x:f>IFERROR(E494/F494,0)</x:f>
        <x:v>271.51063829787233</x:v>
      </x:c>
      <x:c r="H494" t="str">
        <x:f>TEXT(D494,"mmm")</x:f>
        <x:v>Aug</x:v>
      </x:c>
      <x:c r="I494" s="22" t="n">
        <x:f>MONTH(D494)</x:f>
        <x:v>8</x:v>
      </x:c>
      <x:c r="J494" s="22" t="n">
        <x:f>YEAR(D494)</x:f>
        <x:v>2022</x:v>
      </x:c>
      <x:c r="K494" t="str">
        <x:f>IF(F494&gt;200,"Large Order","Standard Order")</x:f>
        <x:v>Standard Order</x:v>
      </x:c>
    </x:row>
    <x:row r="495">
      <x:c r="A495" t="str">
        <x:v>Husein Augar</x:v>
      </x:c>
      <x:c r="B495" t="str">
        <x:v>Canada</x:v>
      </x:c>
      <x:c r="C495" t="str">
        <x:v>Eclairs</x:v>
      </x:c>
      <x:c r="D495" s="14" t="n">
        <x:v>44578</x:v>
      </x:c>
      <x:c r="E495" s="16" t="n">
        <x:v>3696</x:v>
      </x:c>
      <x:c r="F495" s="18" t="n">
        <x:v>233</x:v>
      </x:c>
      <x:c r="G495" s="20" t="n">
        <x:f>IFERROR(E495/F495,0)</x:f>
        <x:v>15.86266094420601</x:v>
      </x:c>
      <x:c r="H495" t="str">
        <x:f>TEXT(D495,"mmm")</x:f>
        <x:v>Jan</x:v>
      </x:c>
      <x:c r="I495" s="22" t="n">
        <x:f>MONTH(D495)</x:f>
        <x:v>1</x:v>
      </x:c>
      <x:c r="J495" s="22" t="n">
        <x:f>YEAR(D495)</x:f>
        <x:v>2022</x:v>
      </x:c>
      <x:c r="K495" t="str">
        <x:f>IF(F495&gt;200,"Large Order","Standard Order")</x:f>
        <x:v>Large Order</x:v>
      </x:c>
    </x:row>
    <x:row r="496">
      <x:c r="A496" t="str">
        <x:v>Jan Morforth</x:v>
      </x:c>
      <x:c r="B496" t="str">
        <x:v>Australia</x:v>
      </x:c>
      <x:c r="C496" t="str">
        <x:v>70% Dark Bites</x:v>
      </x:c>
      <x:c r="D496" s="14" t="n">
        <x:v>44624</x:v>
      </x:c>
      <x:c r="E496" s="16" t="n">
        <x:v>5222</x:v>
      </x:c>
      <x:c r="F496" s="18" t="n">
        <x:v>384</x:v>
      </x:c>
      <x:c r="G496" s="20" t="n">
        <x:f>IFERROR(E496/F496,0)</x:f>
        <x:v>13.598958333333334</x:v>
      </x:c>
      <x:c r="H496" t="str">
        <x:f>TEXT(D496,"mmm")</x:f>
        <x:v>Mar</x:v>
      </x:c>
      <x:c r="I496" s="22" t="n">
        <x:f>MONTH(D496)</x:f>
        <x:v>3</x:v>
      </x:c>
      <x:c r="J496" s="22" t="n">
        <x:f>YEAR(D496)</x:f>
        <x:v>2022</x:v>
      </x:c>
      <x:c r="K496" t="str">
        <x:f>IF(F496&gt;200,"Large Order","Standard Order")</x:f>
        <x:v>Large Order</x:v>
      </x:c>
    </x:row>
    <x:row r="497">
      <x:c r="A497" t="str">
        <x:v>Marney O'Breen</x:v>
      </x:c>
      <x:c r="B497" t="str">
        <x:v>New Zealand</x:v>
      </x:c>
      <x:c r="C497" t="str">
        <x:v>Fruit &amp; Nut Bars</x:v>
      </x:c>
      <x:c r="D497" s="14" t="n">
        <x:v>44798</x:v>
      </x:c>
      <x:c r="E497" s="16" t="n">
        <x:v>8939</x:v>
      </x:c>
      <x:c r="F497" s="18" t="n">
        <x:v>4</x:v>
      </x:c>
      <x:c r="G497" s="20" t="n">
        <x:f>IFERROR(E497/F497,0)</x:f>
        <x:v>2234.75</x:v>
      </x:c>
      <x:c r="H497" t="str">
        <x:f>TEXT(D497,"mmm")</x:f>
        <x:v>Aug</x:v>
      </x:c>
      <x:c r="I497" s="22" t="n">
        <x:f>MONTH(D497)</x:f>
        <x:v>8</x:v>
      </x:c>
      <x:c r="J497" s="22" t="n">
        <x:f>YEAR(D497)</x:f>
        <x:v>2022</x:v>
      </x:c>
      <x:c r="K497" t="str">
        <x:f>IF(F497&gt;200,"Large Order","Standard Order")</x:f>
        <x:v>Standard Order</x:v>
      </x:c>
    </x:row>
    <x:row r="498">
      <x:c r="A498" t="str">
        <x:v>Ches Bonnell</x:v>
      </x:c>
      <x:c r="B498" t="str">
        <x:v>UK</x:v>
      </x:c>
      <x:c r="C498" t="str">
        <x:v>Peanut Butter Cubes</x:v>
      </x:c>
      <x:c r="D498" s="14" t="n">
        <x:v>44666</x:v>
      </x:c>
      <x:c r="E498" s="16" t="n">
        <x:v>2156</x:v>
      </x:c>
      <x:c r="F498" s="18" t="n">
        <x:v>260</x:v>
      </x:c>
      <x:c r="G498" s="20" t="n">
        <x:f>IFERROR(E498/F498,0)</x:f>
        <x:v>8.292307692307693</x:v>
      </x:c>
      <x:c r="H498" t="str">
        <x:f>TEXT(D498,"mmm")</x:f>
        <x:v>Apr</x:v>
      </x:c>
      <x:c r="I498" s="22" t="n">
        <x:f>MONTH(D498)</x:f>
        <x:v>4</x:v>
      </x:c>
      <x:c r="J498" s="22" t="n">
        <x:f>YEAR(D498)</x:f>
        <x:v>2022</x:v>
      </x:c>
      <x:c r="K498" t="str">
        <x:f>IF(F498&gt;200,"Large Order","Standard Order")</x:f>
        <x:v>Large Order</x:v>
      </x:c>
    </x:row>
    <x:row r="499">
      <x:c r="A499" t="str">
        <x:v>Kaine Padly</x:v>
      </x:c>
      <x:c r="B499" t="str">
        <x:v>USA</x:v>
      </x:c>
      <x:c r="C499" t="str">
        <x:v>Organic Choco Syrup</x:v>
      </x:c>
      <x:c r="D499" s="14" t="n">
        <x:v>44631</x:v>
      </x:c>
      <x:c r="E499" s="16" t="n">
        <x:v>2380</x:v>
      </x:c>
      <x:c r="F499" s="18" t="n">
        <x:v>22</x:v>
      </x:c>
      <x:c r="G499" s="20" t="n">
        <x:f>IFERROR(E499/F499,0)</x:f>
        <x:v>108.18181818181819</x:v>
      </x:c>
      <x:c r="H499" t="str">
        <x:f>TEXT(D499,"mmm")</x:f>
        <x:v>Mar</x:v>
      </x:c>
      <x:c r="I499" s="22" t="n">
        <x:f>MONTH(D499)</x:f>
        <x:v>3</x:v>
      </x:c>
      <x:c r="J499" s="22" t="n">
        <x:f>YEAR(D499)</x:f>
        <x:v>2022</x:v>
      </x:c>
      <x:c r="K499" t="str">
        <x:f>IF(F499&gt;200,"Large Order","Standard Order")</x:f>
        <x:v>Standard Order</x:v>
      </x:c>
    </x:row>
    <x:row r="500">
      <x:c r="A500" t="str">
        <x:v>Camilla Castle</x:v>
      </x:c>
      <x:c r="B500" t="str">
        <x:v>USA</x:v>
      </x:c>
      <x:c r="C500" t="str">
        <x:v>Raspberry Choco</x:v>
      </x:c>
      <x:c r="D500" s="14" t="n">
        <x:v>44701</x:v>
      </x:c>
      <x:c r="E500" s="16" t="n">
        <x:v>3339</x:v>
      </x:c>
      <x:c r="F500" s="18" t="n">
        <x:v>18</x:v>
      </x:c>
      <x:c r="G500" s="20" t="n">
        <x:f>IFERROR(E500/F500,0)</x:f>
        <x:v>185.5</x:v>
      </x:c>
      <x:c r="H500" t="str">
        <x:f>TEXT(D500,"mmm")</x:f>
        <x:v>May</x:v>
      </x:c>
      <x:c r="I500" s="22" t="n">
        <x:f>MONTH(D500)</x:f>
        <x:v>5</x:v>
      </x:c>
      <x:c r="J500" s="22" t="n">
        <x:f>YEAR(D500)</x:f>
        <x:v>2022</x:v>
      </x:c>
      <x:c r="K500" t="str">
        <x:f>IF(F500&gt;200,"Large Order","Standard Order")</x:f>
        <x:v>Standard Order</x:v>
      </x:c>
    </x:row>
    <x:row r="501">
      <x:c r="A501" t="str">
        <x:v>Brien Boise</x:v>
      </x:c>
      <x:c r="B501" t="str">
        <x:v>New Zealand</x:v>
      </x:c>
      <x:c r="C501" t="str">
        <x:v>Manuka Honey Choco</x:v>
      </x:c>
      <x:c r="D501" s="14" t="n">
        <x:v>44726</x:v>
      </x:c>
      <x:c r="E501" s="16" t="n">
        <x:v>14980</x:v>
      </x:c>
      <x:c r="F501" s="18" t="n">
        <x:v>42</x:v>
      </x:c>
      <x:c r="G501" s="20" t="n">
        <x:f>IFERROR(E501/F501,0)</x:f>
        <x:v>356.6666666666667</x:v>
      </x:c>
      <x:c r="H501" t="str">
        <x:f>TEXT(D501,"mmm")</x:f>
        <x:v>Jun</x:v>
      </x:c>
      <x:c r="I501" s="22" t="n">
        <x:f>MONTH(D501)</x:f>
        <x:v>6</x:v>
      </x:c>
      <x:c r="J501" s="22" t="n">
        <x:f>YEAR(D501)</x:f>
        <x:v>2022</x:v>
      </x:c>
      <x:c r="K501" t="str">
        <x:f>IF(F501&gt;200,"Large Order","Standard Order")</x:f>
        <x:v>Standard Order</x:v>
      </x:c>
    </x:row>
    <x:row r="502">
      <x:c r="A502" t="str">
        <x:v>Jehu Rudeforth</x:v>
      </x:c>
      <x:c r="B502" t="str">
        <x:v>New Zealand</x:v>
      </x:c>
      <x:c r="C502" t="str">
        <x:v>After Nines</x:v>
      </x:c>
      <x:c r="D502" s="14" t="n">
        <x:v>44665</x:v>
      </x:c>
      <x:c r="E502" s="16" t="n">
        <x:v>1512</x:v>
      </x:c>
      <x:c r="F502" s="18" t="n">
        <x:v>73</x:v>
      </x:c>
      <x:c r="G502" s="20" t="n">
        <x:f>IFERROR(E502/F502,0)</x:f>
        <x:v>20.71232876712329</x:v>
      </x:c>
      <x:c r="H502" t="str">
        <x:f>TEXT(D502,"mmm")</x:f>
        <x:v>Apr</x:v>
      </x:c>
      <x:c r="I502" s="22" t="n">
        <x:f>MONTH(D502)</x:f>
        <x:v>4</x:v>
      </x:c>
      <x:c r="J502" s="22" t="n">
        <x:f>YEAR(D502)</x:f>
        <x:v>2022</x:v>
      </x:c>
      <x:c r="K502" t="str">
        <x:f>IF(F502&gt;200,"Large Order","Standard Order")</x:f>
        <x:v>Standard Order</x:v>
      </x:c>
    </x:row>
    <x:row r="503">
      <x:c r="A503" t="str">
        <x:v>Jehu Rudeforth</x:v>
      </x:c>
      <x:c r="B503" t="str">
        <x:v>USA</x:v>
      </x:c>
      <x:c r="C503" t="str">
        <x:v>Smooth Silky Salty</x:v>
      </x:c>
      <x:c r="D503" s="14" t="n">
        <x:v>44749</x:v>
      </x:c>
      <x:c r="E503" s="16" t="n">
        <x:v>6657</x:v>
      </x:c>
      <x:c r="F503" s="18" t="n">
        <x:v>154</x:v>
      </x:c>
      <x:c r="G503" s="20" t="n">
        <x:f>IFERROR(E503/F503,0)</x:f>
        <x:v>43.22727272727273</x:v>
      </x:c>
      <x:c r="H503" t="str">
        <x:f>TEXT(D503,"mmm")</x:f>
        <x:v>Jul</x:v>
      </x:c>
      <x:c r="I503" s="22" t="n">
        <x:f>MONTH(D503)</x:f>
        <x:v>7</x:v>
      </x:c>
      <x:c r="J503" s="22" t="n">
        <x:f>YEAR(D503)</x:f>
        <x:v>2022</x:v>
      </x:c>
      <x:c r="K503" t="str">
        <x:f>IF(F503&gt;200,"Large Order","Standard Order")</x:f>
        <x:v>Standard Order</x:v>
      </x:c>
    </x:row>
    <x:row r="504">
      <x:c r="A504" t="str">
        <x:v>Madelene Upcott</x:v>
      </x:c>
      <x:c r="B504" t="str">
        <x:v>India</x:v>
      </x:c>
      <x:c r="C504" t="str">
        <x:v>Mint Chip Choco</x:v>
      </x:c>
      <x:c r="D504" s="14" t="n">
        <x:v>44797</x:v>
      </x:c>
      <x:c r="E504" s="16" t="n">
        <x:v>3836</x:v>
      </x:c>
      <x:c r="F504" s="18" t="n">
        <x:v>71</x:v>
      </x:c>
      <x:c r="G504" s="20" t="n">
        <x:f>IFERROR(E504/F504,0)</x:f>
        <x:v>54.028169014084504</x:v>
      </x:c>
      <x:c r="H504" t="str">
        <x:f>TEXT(D504,"mmm")</x:f>
        <x:v>Aug</x:v>
      </x:c>
      <x:c r="I504" s="22" t="n">
        <x:f>MONTH(D504)</x:f>
        <x:v>8</x:v>
      </x:c>
      <x:c r="J504" s="22" t="n">
        <x:f>YEAR(D504)</x:f>
        <x:v>2022</x:v>
      </x:c>
      <x:c r="K504" t="str">
        <x:f>IF(F504&gt;200,"Large Order","Standard Order")</x:f>
        <x:v>Standard Order</x:v>
      </x:c>
    </x:row>
    <x:row r="505">
      <x:c r="A505" t="str">
        <x:v>Jehu Rudeforth</x:v>
      </x:c>
      <x:c r="B505" t="str">
        <x:v>India</x:v>
      </x:c>
      <x:c r="C505" t="str">
        <x:v>Eclairs</x:v>
      </x:c>
      <x:c r="D505" s="14" t="n">
        <x:v>44616</x:v>
      </x:c>
      <x:c r="E505" s="16" t="n">
        <x:v>8771</x:v>
      </x:c>
      <x:c r="F505" s="18" t="n">
        <x:v>127</x:v>
      </x:c>
      <x:c r="G505" s="20" t="n">
        <x:f>IFERROR(E505/F505,0)</x:f>
        <x:v>69.06299212598425</x:v>
      </x:c>
      <x:c r="H505" t="str">
        <x:f>TEXT(D505,"mmm")</x:f>
        <x:v>Feb</x:v>
      </x:c>
      <x:c r="I505" s="22" t="n">
        <x:f>MONTH(D505)</x:f>
        <x:v>2</x:v>
      </x:c>
      <x:c r="J505" s="22" t="n">
        <x:f>YEAR(D505)</x:f>
        <x:v>2022</x:v>
      </x:c>
      <x:c r="K505" t="str">
        <x:f>IF(F505&gt;200,"Large Order","Standard Order")</x:f>
        <x:v>Standard Order</x:v>
      </x:c>
    </x:row>
    <x:row r="506">
      <x:c r="A506" t="str">
        <x:v>Karlen McCaffrey</x:v>
      </x:c>
      <x:c r="B506" t="str">
        <x:v>Canada</x:v>
      </x:c>
      <x:c r="C506" t="str">
        <x:v>Raspberry Choco</x:v>
      </x:c>
      <x:c r="D506" s="14" t="n">
        <x:v>44690</x:v>
      </x:c>
      <x:c r="E506" s="16" t="n">
        <x:v>651</x:v>
      </x:c>
      <x:c r="F506" s="18" t="n">
        <x:v>224</x:v>
      </x:c>
      <x:c r="G506" s="20" t="n">
        <x:f>IFERROR(E506/F506,0)</x:f>
        <x:v>2.90625</x:v>
      </x:c>
      <x:c r="H506" t="str">
        <x:f>TEXT(D506,"mmm")</x:f>
        <x:v>May</x:v>
      </x:c>
      <x:c r="I506" s="22" t="n">
        <x:f>MONTH(D506)</x:f>
        <x:v>5</x:v>
      </x:c>
      <x:c r="J506" s="22" t="n">
        <x:f>YEAR(D506)</x:f>
        <x:v>2022</x:v>
      </x:c>
      <x:c r="K506" t="str">
        <x:f>IF(F506&gt;200,"Large Order","Standard Order")</x:f>
        <x:v>Large Order</x:v>
      </x:c>
    </x:row>
    <x:row r="507">
      <x:c r="A507" t="str">
        <x:v>Kaine Padly</x:v>
      </x:c>
      <x:c r="B507" t="str">
        <x:v>Australia</x:v>
      </x:c>
      <x:c r="C507" t="str">
        <x:v>70% Dark Bites</x:v>
      </x:c>
      <x:c r="D507" s="14" t="n">
        <x:v>44600</x:v>
      </x:c>
      <x:c r="E507" s="16" t="n">
        <x:v>6706</x:v>
      </x:c>
      <x:c r="F507" s="18" t="n">
        <x:v>223</x:v>
      </x:c>
      <x:c r="G507" s="20" t="n">
        <x:f>IFERROR(E507/F507,0)</x:f>
        <x:v>30.071748878923767</x:v>
      </x:c>
      <x:c r="H507" t="str">
        <x:f>TEXT(D507,"mmm")</x:f>
        <x:v>Feb</x:v>
      </x:c>
      <x:c r="I507" s="22" t="n">
        <x:f>MONTH(D507)</x:f>
        <x:v>2</x:v>
      </x:c>
      <x:c r="J507" s="22" t="n">
        <x:f>YEAR(D507)</x:f>
        <x:v>2022</x:v>
      </x:c>
      <x:c r="K507" t="str">
        <x:f>IF(F507&gt;200,"Large Order","Standard Order")</x:f>
        <x:v>Large Order</x:v>
      </x:c>
    </x:row>
    <x:row r="508">
      <x:c r="A508" t="str">
        <x:v>Roddy Speechley</x:v>
      </x:c>
      <x:c r="B508" t="str">
        <x:v>UK</x:v>
      </x:c>
      <x:c r="C508" t="str">
        <x:v>70% Dark Bites</x:v>
      </x:c>
      <x:c r="D508" s="14" t="n">
        <x:v>44644</x:v>
      </x:c>
      <x:c r="E508" s="16" t="n">
        <x:v>1421</x:v>
      </x:c>
      <x:c r="F508" s="18" t="n">
        <x:v>284</x:v>
      </x:c>
      <x:c r="G508" s="20" t="n">
        <x:f>IFERROR(E508/F508,0)</x:f>
        <x:v>5.003521126760563</x:v>
      </x:c>
      <x:c r="H508" t="str">
        <x:f>TEXT(D508,"mmm")</x:f>
        <x:v>Mar</x:v>
      </x:c>
      <x:c r="I508" s="22" t="n">
        <x:f>MONTH(D508)</x:f>
        <x:v>3</x:v>
      </x:c>
      <x:c r="J508" s="22" t="n">
        <x:f>YEAR(D508)</x:f>
        <x:v>2022</x:v>
      </x:c>
      <x:c r="K508" t="str">
        <x:f>IF(F508&gt;200,"Large Order","Standard Order")</x:f>
        <x:v>Large Order</x:v>
      </x:c>
    </x:row>
    <x:row r="509">
      <x:c r="A509" t="str">
        <x:v>Rafaelita Blaksland</x:v>
      </x:c>
      <x:c r="B509" t="str">
        <x:v>USA</x:v>
      </x:c>
      <x:c r="C509" t="str">
        <x:v>Drinking Coco</x:v>
      </x:c>
      <x:c r="D509" s="14" t="n">
        <x:v>44732</x:v>
      </x:c>
      <x:c r="E509" s="16" t="n">
        <x:v>8526</x:v>
      </x:c>
      <x:c r="F509" s="18" t="n">
        <x:v>73</x:v>
      </x:c>
      <x:c r="G509" s="20" t="n">
        <x:f>IFERROR(E509/F509,0)</x:f>
        <x:v>116.79452054794521</x:v>
      </x:c>
      <x:c r="H509" t="str">
        <x:f>TEXT(D509,"mmm")</x:f>
        <x:v>Jun</x:v>
      </x:c>
      <x:c r="I509" s="22" t="n">
        <x:f>MONTH(D509)</x:f>
        <x:v>6</x:v>
      </x:c>
      <x:c r="J509" s="22" t="n">
        <x:f>YEAR(D509)</x:f>
        <x:v>2022</x:v>
      </x:c>
      <x:c r="K509" t="str">
        <x:f>IF(F509&gt;200,"Large Order","Standard Order")</x:f>
        <x:v>Standard Order</x:v>
      </x:c>
    </x:row>
    <x:row r="510">
      <x:c r="A510" t="str">
        <x:v>Mallorie Waber</x:v>
      </x:c>
      <x:c r="B510" t="str">
        <x:v>Canada</x:v>
      </x:c>
      <x:c r="C510" t="str">
        <x:v>Manuka Honey Choco</x:v>
      </x:c>
      <x:c r="D510" s="14" t="n">
        <x:v>44627</x:v>
      </x:c>
      <x:c r="E510" s="16" t="n">
        <x:v>1435</x:v>
      </x:c>
      <x:c r="F510" s="18" t="n">
        <x:v>112</x:v>
      </x:c>
      <x:c r="G510" s="20" t="n">
        <x:f>IFERROR(E510/F510,0)</x:f>
        <x:v>12.8125</x:v>
      </x:c>
      <x:c r="H510" t="str">
        <x:f>TEXT(D510,"mmm")</x:f>
        <x:v>Mar</x:v>
      </x:c>
      <x:c r="I510" s="22" t="n">
        <x:f>MONTH(D510)</x:f>
        <x:v>3</x:v>
      </x:c>
      <x:c r="J510" s="22" t="n">
        <x:f>YEAR(D510)</x:f>
        <x:v>2022</x:v>
      </x:c>
      <x:c r="K510" t="str">
        <x:f>IF(F510&gt;200,"Large Order","Standard Order")</x:f>
        <x:v>Standard Order</x:v>
      </x:c>
    </x:row>
    <x:row r="511">
      <x:c r="A511" t="str">
        <x:v>Kaine Padly</x:v>
      </x:c>
      <x:c r="B511" t="str">
        <x:v>Australia</x:v>
      </x:c>
      <x:c r="C511" t="str">
        <x:v>Fruit &amp; Nut Bars</x:v>
      </x:c>
      <x:c r="D511" s="14" t="n">
        <x:v>44732</x:v>
      </x:c>
      <x:c r="E511" s="16" t="n">
        <x:v>7434</x:v>
      </x:c>
      <x:c r="F511" s="18" t="n">
        <x:v>85</x:v>
      </x:c>
      <x:c r="G511" s="20" t="n">
        <x:f>IFERROR(E511/F511,0)</x:f>
        <x:v>87.45882352941176</x:v>
      </x:c>
      <x:c r="H511" t="str">
        <x:f>TEXT(D511,"mmm")</x:f>
        <x:v>Jun</x:v>
      </x:c>
      <x:c r="I511" s="22" t="n">
        <x:f>MONTH(D511)</x:f>
        <x:v>6</x:v>
      </x:c>
      <x:c r="J511" s="22" t="n">
        <x:f>YEAR(D511)</x:f>
        <x:v>2022</x:v>
      </x:c>
      <x:c r="K511" t="str">
        <x:f>IF(F511&gt;200,"Large Order","Standard Order")</x:f>
        <x:v>Standard Order</x:v>
      </x:c>
    </x:row>
    <x:row r="512">
      <x:c r="A512" t="str">
        <x:v>Oby Sorrel</x:v>
      </x:c>
      <x:c r="B512" t="str">
        <x:v>New Zealand</x:v>
      </x:c>
      <x:c r="C512" t="str">
        <x:v>Organic Choco Syrup</x:v>
      </x:c>
      <x:c r="D512" s="14" t="n">
        <x:v>44609</x:v>
      </x:c>
      <x:c r="E512" s="16" t="n">
        <x:v>15316</x:v>
      </x:c>
      <x:c r="F512" s="18" t="n">
        <x:v>270</x:v>
      </x:c>
      <x:c r="G512" s="20" t="n">
        <x:f>IFERROR(E512/F512,0)</x:f>
        <x:v>56.72592592592593</x:v>
      </x:c>
      <x:c r="H512" t="str">
        <x:f>TEXT(D512,"mmm")</x:f>
        <x:v>Feb</x:v>
      </x:c>
      <x:c r="I512" s="22" t="n">
        <x:f>MONTH(D512)</x:f>
        <x:v>2</x:v>
      </x:c>
      <x:c r="J512" s="22" t="n">
        <x:f>YEAR(D512)</x:f>
        <x:v>2022</x:v>
      </x:c>
      <x:c r="K512" t="str">
        <x:f>IF(F512&gt;200,"Large Order","Standard Order")</x:f>
        <x:v>Large Order</x:v>
      </x:c>
    </x:row>
    <x:row r="513">
      <x:c r="A513" t="str">
        <x:v>Madelene Upcott</x:v>
      </x:c>
      <x:c r="B513" t="str">
        <x:v>UK</x:v>
      </x:c>
      <x:c r="C513" t="str">
        <x:v>99% Dark &amp; Pure</x:v>
      </x:c>
      <x:c r="D513" s="14" t="n">
        <x:v>44587</x:v>
      </x:c>
      <x:c r="E513" s="16" t="n">
        <x:v>10479</x:v>
      </x:c>
      <x:c r="F513" s="18" t="n">
        <x:v>45</x:v>
      </x:c>
      <x:c r="G513" s="20" t="n">
        <x:f>IFERROR(E513/F513,0)</x:f>
        <x:v>232.86666666666667</x:v>
      </x:c>
      <x:c r="H513" t="str">
        <x:f>TEXT(D513,"mmm")</x:f>
        <x:v>Jan</x:v>
      </x:c>
      <x:c r="I513" s="22" t="n">
        <x:f>MONTH(D513)</x:f>
        <x:v>1</x:v>
      </x:c>
      <x:c r="J513" s="22" t="n">
        <x:f>YEAR(D513)</x:f>
        <x:v>2022</x:v>
      </x:c>
      <x:c r="K513" t="str">
        <x:f>IF(F513&gt;200,"Large Order","Standard Order")</x:f>
        <x:v>Standard Order</x:v>
      </x:c>
    </x:row>
    <x:row r="514">
      <x:c r="A514" t="str">
        <x:v>Madelene Upcott</x:v>
      </x:c>
      <x:c r="B514" t="str">
        <x:v>Australia</x:v>
      </x:c>
      <x:c r="C514" t="str">
        <x:v>Mint Chip Choco</x:v>
      </x:c>
      <x:c r="D514" s="14" t="n">
        <x:v>44683</x:v>
      </x:c>
      <x:c r="E514" s="16" t="n">
        <x:v>2751</x:v>
      </x:c>
      <x:c r="F514" s="18" t="n">
        <x:v>153</x:v>
      </x:c>
      <x:c r="G514" s="20" t="n">
        <x:f>IFERROR(E514/F514,0)</x:f>
        <x:v>17.980392156862745</x:v>
      </x:c>
      <x:c r="H514" t="str">
        <x:f>TEXT(D514,"mmm")</x:f>
        <x:v>May</x:v>
      </x:c>
      <x:c r="I514" s="22" t="n">
        <x:f>MONTH(D514)</x:f>
        <x:v>5</x:v>
      </x:c>
      <x:c r="J514" s="22" t="n">
        <x:f>YEAR(D514)</x:f>
        <x:v>2022</x:v>
      </x:c>
      <x:c r="K514" t="str">
        <x:f>IF(F514&gt;200,"Large Order","Standard Order")</x:f>
        <x:v>Standard Order</x:v>
      </x:c>
    </x:row>
    <x:row r="515">
      <x:c r="A515" t="str">
        <x:v>Curtice Advani</x:v>
      </x:c>
      <x:c r="B515" t="str">
        <x:v>Canada</x:v>
      </x:c>
      <x:c r="C515" t="str">
        <x:v>99% Dark &amp; Pure</x:v>
      </x:c>
      <x:c r="D515" s="14" t="n">
        <x:v>44749</x:v>
      </x:c>
      <x:c r="E515" s="16" t="n">
        <x:v>12586</x:v>
      </x:c>
      <x:c r="F515" s="18" t="n">
        <x:v>7</x:v>
      </x:c>
      <x:c r="G515" s="20" t="n">
        <x:f>IFERROR(E515/F515,0)</x:f>
        <x:v>1798</x:v>
      </x:c>
      <x:c r="H515" t="str">
        <x:f>TEXT(D515,"mmm")</x:f>
        <x:v>Jul</x:v>
      </x:c>
      <x:c r="I515" s="22" t="n">
        <x:f>MONTH(D515)</x:f>
        <x:v>7</x:v>
      </x:c>
      <x:c r="J515" s="22" t="n">
        <x:f>YEAR(D515)</x:f>
        <x:v>2022</x:v>
      </x:c>
      <x:c r="K515" t="str">
        <x:f>IF(F515&gt;200,"Large Order","Standard Order")</x:f>
        <x:v>Standard Order</x:v>
      </x:c>
    </x:row>
    <x:row r="516">
      <x:c r="A516" t="str">
        <x:v>Rafaelita Blaksland</x:v>
      </x:c>
      <x:c r="B516" t="str">
        <x:v>Australia</x:v>
      </x:c>
      <x:c r="C516" t="str">
        <x:v>Baker's Choco Chips</x:v>
      </x:c>
      <x:c r="D516" s="14" t="n">
        <x:v>44795</x:v>
      </x:c>
      <x:c r="E516" s="16" t="n">
        <x:v>2786</x:v>
      </x:c>
      <x:c r="F516" s="18" t="n">
        <x:v>51</x:v>
      </x:c>
      <x:c r="G516" s="20" t="n">
        <x:f>IFERROR(E516/F516,0)</x:f>
        <x:v>54.627450980392155</x:v>
      </x:c>
      <x:c r="H516" t="str">
        <x:f>TEXT(D516,"mmm")</x:f>
        <x:v>Aug</x:v>
      </x:c>
      <x:c r="I516" s="22" t="n">
        <x:f>MONTH(D516)</x:f>
        <x:v>8</x:v>
      </x:c>
      <x:c r="J516" s="22" t="n">
        <x:f>YEAR(D516)</x:f>
        <x:v>2022</x:v>
      </x:c>
      <x:c r="K516" t="str">
        <x:f>IF(F516&gt;200,"Large Order","Standard Order")</x:f>
        <x:v>Standard Order</x:v>
      </x:c>
    </x:row>
    <x:row r="517">
      <x:c r="A517" t="str">
        <x:v>Karlen McCaffrey</x:v>
      </x:c>
      <x:c r="B517" t="str">
        <x:v>Australia</x:v>
      </x:c>
      <x:c r="C517" t="str">
        <x:v>After Nines</x:v>
      </x:c>
      <x:c r="D517" s="14" t="n">
        <x:v>44784</x:v>
      </x:c>
      <x:c r="E517" s="16" t="n">
        <x:v>2303</x:v>
      </x:c>
      <x:c r="F517" s="18" t="n">
        <x:v>67</x:v>
      </x:c>
      <x:c r="G517" s="20" t="n">
        <x:f>IFERROR(E517/F517,0)</x:f>
        <x:v>34.37313432835821</x:v>
      </x:c>
      <x:c r="H517" t="str">
        <x:f>TEXT(D517,"mmm")</x:f>
        <x:v>Aug</x:v>
      </x:c>
      <x:c r="I517" s="22" t="n">
        <x:f>MONTH(D517)</x:f>
        <x:v>8</x:v>
      </x:c>
      <x:c r="J517" s="22" t="n">
        <x:f>YEAR(D517)</x:f>
        <x:v>2022</x:v>
      </x:c>
      <x:c r="K517" t="str">
        <x:f>IF(F517&gt;200,"Large Order","Standard Order")</x:f>
        <x:v>Standard Order</x:v>
      </x:c>
    </x:row>
    <x:row r="518">
      <x:c r="A518" t="str">
        <x:v>Marney O'Breen</x:v>
      </x:c>
      <x:c r="B518" t="str">
        <x:v>UK</x:v>
      </x:c>
      <x:c r="C518" t="str">
        <x:v>99% Dark &amp; Pure</x:v>
      </x:c>
      <x:c r="D518" s="14" t="n">
        <x:v>44574</x:v>
      </x:c>
      <x:c r="E518" s="16" t="n">
        <x:v>8113</x:v>
      </x:c>
      <x:c r="F518" s="18" t="n">
        <x:v>194</x:v>
      </x:c>
      <x:c r="G518" s="20" t="n">
        <x:f>IFERROR(E518/F518,0)</x:f>
        <x:v>41.81958762886598</x:v>
      </x:c>
      <x:c r="H518" t="str">
        <x:f>TEXT(D518,"mmm")</x:f>
        <x:v>Jan</x:v>
      </x:c>
      <x:c r="I518" s="22" t="n">
        <x:f>MONTH(D518)</x:f>
        <x:v>1</x:v>
      </x:c>
      <x:c r="J518" s="22" t="n">
        <x:f>YEAR(D518)</x:f>
        <x:v>2022</x:v>
      </x:c>
      <x:c r="K518" t="str">
        <x:f>IF(F518&gt;200,"Large Order","Standard Order")</x:f>
        <x:v>Standard Order</x:v>
      </x:c>
    </x:row>
    <x:row r="519">
      <x:c r="A519" t="str">
        <x:v>Gunar Cockshoot</x:v>
      </x:c>
      <x:c r="B519" t="str">
        <x:v>Australia</x:v>
      </x:c>
      <x:c r="C519" t="str">
        <x:v>50% Dark Bites</x:v>
      </x:c>
      <x:c r="D519" s="14" t="n">
        <x:v>44622</x:v>
      </x:c>
      <x:c r="E519" s="16" t="n">
        <x:v>12271</x:v>
      </x:c>
      <x:c r="F519" s="18" t="n">
        <x:v>116</x:v>
      </x:c>
      <x:c r="G519" s="20" t="n">
        <x:f>IFERROR(E519/F519,0)</x:f>
        <x:v>105.78448275862068</x:v>
      </x:c>
      <x:c r="H519" t="str">
        <x:f>TEXT(D519,"mmm")</x:f>
        <x:v>Mar</x:v>
      </x:c>
      <x:c r="I519" s="22" t="n">
        <x:f>MONTH(D519)</x:f>
        <x:v>3</x:v>
      </x:c>
      <x:c r="J519" s="22" t="n">
        <x:f>YEAR(D519)</x:f>
        <x:v>2022</x:v>
      </x:c>
      <x:c r="K519" t="str">
        <x:f>IF(F519&gt;200,"Large Order","Standard Order")</x:f>
        <x:v>Standard Order</x:v>
      </x:c>
    </x:row>
    <x:row r="520">
      <x:c r="A520" t="str">
        <x:v>Marney O'Breen</x:v>
      </x:c>
      <x:c r="B520" t="str">
        <x:v>Australia</x:v>
      </x:c>
      <x:c r="C520" t="str">
        <x:v>Choco Coated Almonds</x:v>
      </x:c>
      <x:c r="D520" s="14" t="n">
        <x:v>44769</x:v>
      </x:c>
      <x:c r="E520" s="16" t="n">
        <x:v>11298</x:v>
      </x:c>
      <x:c r="F520" s="18" t="n">
        <x:v>41</x:v>
      </x:c>
      <x:c r="G520" s="20" t="n">
        <x:f>IFERROR(E520/F520,0)</x:f>
        <x:v>275.5609756097561</x:v>
      </x:c>
      <x:c r="H520" t="str">
        <x:f>TEXT(D520,"mmm")</x:f>
        <x:v>Jul</x:v>
      </x:c>
      <x:c r="I520" s="22" t="n">
        <x:f>MONTH(D520)</x:f>
        <x:v>7</x:v>
      </x:c>
      <x:c r="J520" s="22" t="n">
        <x:f>YEAR(D520)</x:f>
        <x:v>2022</x:v>
      </x:c>
      <x:c r="K520" t="str">
        <x:f>IF(F520&gt;200,"Large Order","Standard Order")</x:f>
        <x:v>Standard Order</x:v>
      </x:c>
    </x:row>
    <x:row r="521">
      <x:c r="A521" t="str">
        <x:v>Kelci Walkden</x:v>
      </x:c>
      <x:c r="B521" t="str">
        <x:v>New Zealand</x:v>
      </x:c>
      <x:c r="C521" t="str">
        <x:v>Drinking Coco</x:v>
      </x:c>
      <x:c r="D521" s="14" t="n">
        <x:v>44630</x:v>
      </x:c>
      <x:c r="E521" s="16" t="n">
        <x:v>15855</x:v>
      </x:c>
      <x:c r="F521" s="18" t="n">
        <x:v>111</x:v>
      </x:c>
      <x:c r="G521" s="20" t="n">
        <x:f>IFERROR(E521/F521,0)</x:f>
        <x:v>142.83783783783784</x:v>
      </x:c>
      <x:c r="H521" t="str">
        <x:f>TEXT(D521,"mmm")</x:f>
        <x:v>Mar</x:v>
      </x:c>
      <x:c r="I521" s="22" t="n">
        <x:f>MONTH(D521)</x:f>
        <x:v>3</x:v>
      </x:c>
      <x:c r="J521" s="22" t="n">
        <x:f>YEAR(D521)</x:f>
        <x:v>2022</x:v>
      </x:c>
      <x:c r="K521" t="str">
        <x:f>IF(F521&gt;200,"Large Order","Standard Order")</x:f>
        <x:v>Standard Order</x:v>
      </x:c>
    </x:row>
    <x:row r="522">
      <x:c r="A522" t="str">
        <x:v>Beverie Moffet</x:v>
      </x:c>
      <x:c r="B522" t="str">
        <x:v>USA</x:v>
      </x:c>
      <x:c r="C522" t="str">
        <x:v>85% Dark Bars</x:v>
      </x:c>
      <x:c r="D522" s="14" t="n">
        <x:v>44796</x:v>
      </x:c>
      <x:c r="E522" s="16" t="n">
        <x:v>12404</x:v>
      </x:c>
      <x:c r="F522" s="18" t="n">
        <x:v>334</x:v>
      </x:c>
      <x:c r="G522" s="20" t="n">
        <x:f>IFERROR(E522/F522,0)</x:f>
        <x:v>37.137724550898206</x:v>
      </x:c>
      <x:c r="H522" t="str">
        <x:f>TEXT(D522,"mmm")</x:f>
        <x:v>Aug</x:v>
      </x:c>
      <x:c r="I522" s="22" t="n">
        <x:f>MONTH(D522)</x:f>
        <x:v>8</x:v>
      </x:c>
      <x:c r="J522" s="22" t="n">
        <x:f>YEAR(D522)</x:f>
        <x:v>2022</x:v>
      </x:c>
      <x:c r="K522" t="str">
        <x:f>IF(F522&gt;200,"Large Order","Standard Order")</x:f>
        <x:v>Large Order</x:v>
      </x:c>
    </x:row>
    <x:row r="523">
      <x:c r="A523" t="str">
        <x:v>Roddy Speechley</x:v>
      </x:c>
      <x:c r="B523" t="str">
        <x:v>USA</x:v>
      </x:c>
      <x:c r="C523" t="str">
        <x:v>Eclairs</x:v>
      </x:c>
      <x:c r="D523" s="14" t="n">
        <x:v>44676</x:v>
      </x:c>
      <x:c r="E523" s="16" t="n">
        <x:v>3990</x:v>
      </x:c>
      <x:c r="F523" s="18" t="n">
        <x:v>155</x:v>
      </x:c>
      <x:c r="G523" s="20" t="n">
        <x:f>IFERROR(E523/F523,0)</x:f>
        <x:v>25.741935483870968</x:v>
      </x:c>
      <x:c r="H523" t="str">
        <x:f>TEXT(D523,"mmm")</x:f>
        <x:v>Apr</x:v>
      </x:c>
      <x:c r="I523" s="22" t="n">
        <x:f>MONTH(D523)</x:f>
        <x:v>4</x:v>
      </x:c>
      <x:c r="J523" s="22" t="n">
        <x:f>YEAR(D523)</x:f>
        <x:v>2022</x:v>
      </x:c>
      <x:c r="K523" t="str">
        <x:f>IF(F523&gt;200,"Large Order","Standard Order")</x:f>
        <x:v>Standard Order</x:v>
      </x:c>
    </x:row>
    <x:row r="524">
      <x:c r="A524" t="str">
        <x:v>Dennison Crosswaite</x:v>
      </x:c>
      <x:c r="B524" t="str">
        <x:v>UK</x:v>
      </x:c>
      <x:c r="C524" t="str">
        <x:v>Milk Bars</x:v>
      </x:c>
      <x:c r="D524" s="14" t="n">
        <x:v>44627</x:v>
      </x:c>
      <x:c r="E524" s="16" t="n">
        <x:v>10808</x:v>
      </x:c>
      <x:c r="F524" s="18" t="n">
        <x:v>407</x:v>
      </x:c>
      <x:c r="G524" s="20" t="n">
        <x:f>IFERROR(E524/F524,0)</x:f>
        <x:v>26.555282555282556</x:v>
      </x:c>
      <x:c r="H524" t="str">
        <x:f>TEXT(D524,"mmm")</x:f>
        <x:v>Mar</x:v>
      </x:c>
      <x:c r="I524" s="22" t="n">
        <x:f>MONTH(D524)</x:f>
        <x:v>3</x:v>
      </x:c>
      <x:c r="J524" s="22" t="n">
        <x:f>YEAR(D524)</x:f>
        <x:v>2022</x:v>
      </x:c>
      <x:c r="K524" t="str">
        <x:f>IF(F524&gt;200,"Large Order","Standard Order")</x:f>
        <x:v>Large Order</x:v>
      </x:c>
    </x:row>
    <x:row r="525">
      <x:c r="A525" t="str">
        <x:v>Wilone O'Kielt</x:v>
      </x:c>
      <x:c r="B525" t="str">
        <x:v>UK</x:v>
      </x:c>
      <x:c r="C525" t="str">
        <x:v>Organic Choco Syrup</x:v>
      </x:c>
      <x:c r="D525" s="14" t="n">
        <x:v>44754</x:v>
      </x:c>
      <x:c r="E525" s="16" t="n">
        <x:v>4858</x:v>
      </x:c>
      <x:c r="F525" s="18" t="n">
        <x:v>52</x:v>
      </x:c>
      <x:c r="G525" s="20" t="n">
        <x:f>IFERROR(E525/F525,0)</x:f>
        <x:v>93.42307692307692</x:v>
      </x:c>
      <x:c r="H525" t="str">
        <x:f>TEXT(D525,"mmm")</x:f>
        <x:v>Jul</x:v>
      </x:c>
      <x:c r="I525" s="22" t="n">
        <x:f>MONTH(D525)</x:f>
        <x:v>7</x:v>
      </x:c>
      <x:c r="J525" s="22" t="n">
        <x:f>YEAR(D525)</x:f>
        <x:v>2022</x:v>
      </x:c>
      <x:c r="K525" t="str">
        <x:f>IF(F525&gt;200,"Large Order","Standard Order")</x:f>
        <x:v>Standard Order</x:v>
      </x:c>
    </x:row>
    <x:row r="526">
      <x:c r="A526" t="str">
        <x:v>Madelene Upcott</x:v>
      </x:c>
      <x:c r="B526" t="str">
        <x:v>USA</x:v>
      </x:c>
      <x:c r="C526" t="str">
        <x:v>Orange Choco</x:v>
      </x:c>
      <x:c r="D526" s="14" t="n">
        <x:v>44697</x:v>
      </x:c>
      <x:c r="E526" s="16" t="n">
        <x:v>7742</x:v>
      </x:c>
      <x:c r="F526" s="18" t="n">
        <x:v>138</x:v>
      </x:c>
      <x:c r="G526" s="20" t="n">
        <x:f>IFERROR(E526/F526,0)</x:f>
        <x:v>56.10144927536232</x:v>
      </x:c>
      <x:c r="H526" t="str">
        <x:f>TEXT(D526,"mmm")</x:f>
        <x:v>May</x:v>
      </x:c>
      <x:c r="I526" s="22" t="n">
        <x:f>MONTH(D526)</x:f>
        <x:v>5</x:v>
      </x:c>
      <x:c r="J526" s="22" t="n">
        <x:f>YEAR(D526)</x:f>
        <x:v>2022</x:v>
      </x:c>
      <x:c r="K526" t="str">
        <x:f>IF(F526&gt;200,"Large Order","Standard Order")</x:f>
        <x:v>Standard Order</x:v>
      </x:c>
    </x:row>
    <x:row r="527">
      <x:c r="A527" t="str">
        <x:v>Gunar Cockshoot</x:v>
      </x:c>
      <x:c r="B527" t="str">
        <x:v>India</x:v>
      </x:c>
      <x:c r="C527" t="str">
        <x:v>Smooth Silky Salty</x:v>
      </x:c>
      <x:c r="D527" s="14" t="n">
        <x:v>44622</x:v>
      </x:c>
      <x:c r="E527" s="16" t="n">
        <x:v>3752</x:v>
      </x:c>
      <x:c r="F527" s="18" t="n">
        <x:v>70</x:v>
      </x:c>
      <x:c r="G527" s="20" t="n">
        <x:f>IFERROR(E527/F527,0)</x:f>
        <x:v>53.6</x:v>
      </x:c>
      <x:c r="H527" t="str">
        <x:f>TEXT(D527,"mmm")</x:f>
        <x:v>Mar</x:v>
      </x:c>
      <x:c r="I527" s="22" t="n">
        <x:f>MONTH(D527)</x:f>
        <x:v>3</x:v>
      </x:c>
      <x:c r="J527" s="22" t="n">
        <x:f>YEAR(D527)</x:f>
        <x:v>2022</x:v>
      </x:c>
      <x:c r="K527" t="str">
        <x:f>IF(F527&gt;200,"Large Order","Standard Order")</x:f>
        <x:v>Standard Order</x:v>
      </x:c>
    </x:row>
    <x:row r="528">
      <x:c r="A528" t="str">
        <x:v>Marney O'Breen</x:v>
      </x:c>
      <x:c r="B528" t="str">
        <x:v>New Zealand</x:v>
      </x:c>
      <x:c r="C528" t="str">
        <x:v>85% Dark Bars</x:v>
      </x:c>
      <x:c r="D528" s="14" t="n">
        <x:v>44711</x:v>
      </x:c>
      <x:c r="E528" s="16" t="n">
        <x:v>1218</x:v>
      </x:c>
      <x:c r="F528" s="18" t="n">
        <x:v>149</x:v>
      </x:c>
      <x:c r="G528" s="20" t="n">
        <x:f>IFERROR(E528/F528,0)</x:f>
        <x:v>8.174496644295303</x:v>
      </x:c>
      <x:c r="H528" t="str">
        <x:f>TEXT(D528,"mmm")</x:f>
        <x:v>May</x:v>
      </x:c>
      <x:c r="I528" s="22" t="n">
        <x:f>MONTH(D528)</x:f>
        <x:v>5</x:v>
      </x:c>
      <x:c r="J528" s="22" t="n">
        <x:f>YEAR(D528)</x:f>
        <x:v>2022</x:v>
      </x:c>
      <x:c r="K528" t="str">
        <x:f>IF(F528&gt;200,"Large Order","Standard Order")</x:f>
        <x:v>Standard Order</x:v>
      </x:c>
    </x:row>
    <x:row r="529">
      <x:c r="A529" t="str">
        <x:v>Marney O'Breen</x:v>
      </x:c>
      <x:c r="B529" t="str">
        <x:v>UK</x:v>
      </x:c>
      <x:c r="C529" t="str">
        <x:v>Manuka Honey Choco</x:v>
      </x:c>
      <x:c r="D529" s="14" t="n">
        <x:v>44722</x:v>
      </x:c>
      <x:c r="E529" s="16" t="n">
        <x:v>10983</x:v>
      </x:c>
      <x:c r="F529" s="18" t="n">
        <x:v>179</x:v>
      </x:c>
      <x:c r="G529" s="20" t="n">
        <x:f>IFERROR(E529/F529,0)</x:f>
        <x:v>61.357541899441344</x:v>
      </x:c>
      <x:c r="H529" t="str">
        <x:f>TEXT(D529,"mmm")</x:f>
        <x:v>Jun</x:v>
      </x:c>
      <x:c r="I529" s="22" t="n">
        <x:f>MONTH(D529)</x:f>
        <x:v>6</x:v>
      </x:c>
      <x:c r="J529" s="22" t="n">
        <x:f>YEAR(D529)</x:f>
        <x:v>2022</x:v>
      </x:c>
      <x:c r="K529" t="str">
        <x:f>IF(F529&gt;200,"Large Order","Standard Order")</x:f>
        <x:v>Standard Order</x:v>
      </x:c>
    </x:row>
    <x:row r="530">
      <x:c r="A530" t="str">
        <x:v>Brien Boise</x:v>
      </x:c>
      <x:c r="B530" t="str">
        <x:v>USA</x:v>
      </x:c>
      <x:c r="C530" t="str">
        <x:v>99% Dark &amp; Pure</x:v>
      </x:c>
      <x:c r="D530" s="14" t="n">
        <x:v>44767</x:v>
      </x:c>
      <x:c r="E530" s="16" t="n">
        <x:v>6769</x:v>
      </x:c>
      <x:c r="F530" s="18" t="n">
        <x:v>353</x:v>
      </x:c>
      <x:c r="G530" s="20" t="n">
        <x:f>IFERROR(E530/F530,0)</x:f>
        <x:v>19.175637393767705</x:v>
      </x:c>
      <x:c r="H530" t="str">
        <x:f>TEXT(D530,"mmm")</x:f>
        <x:v>Jul</x:v>
      </x:c>
      <x:c r="I530" s="22" t="n">
        <x:f>MONTH(D530)</x:f>
        <x:v>7</x:v>
      </x:c>
      <x:c r="J530" s="22" t="n">
        <x:f>YEAR(D530)</x:f>
        <x:v>2022</x:v>
      </x:c>
      <x:c r="K530" t="str">
        <x:f>IF(F530&gt;200,"Large Order","Standard Order")</x:f>
        <x:v>Large Order</x:v>
      </x:c>
    </x:row>
    <x:row r="531">
      <x:c r="A531" t="str">
        <x:v>Beverie Moffet</x:v>
      </x:c>
      <x:c r="B531" t="str">
        <x:v>New Zealand</x:v>
      </x:c>
      <x:c r="C531" t="str">
        <x:v>Mint Chip Choco</x:v>
      </x:c>
      <x:c r="D531" s="14" t="n">
        <x:v>44721</x:v>
      </x:c>
      <x:c r="E531" s="16" t="n">
        <x:v>4361</x:v>
      </x:c>
      <x:c r="F531" s="18" t="n">
        <x:v>97</x:v>
      </x:c>
      <x:c r="G531" s="20" t="n">
        <x:f>IFERROR(E531/F531,0)</x:f>
        <x:v>44.95876288659794</x:v>
      </x:c>
      <x:c r="H531" t="str">
        <x:f>TEXT(D531,"mmm")</x:f>
        <x:v>Jun</x:v>
      </x:c>
      <x:c r="I531" s="22" t="n">
        <x:f>MONTH(D531)</x:f>
        <x:v>6</x:v>
      </x:c>
      <x:c r="J531" s="22" t="n">
        <x:f>YEAR(D531)</x:f>
        <x:v>2022</x:v>
      </x:c>
      <x:c r="K531" t="str">
        <x:f>IF(F531&gt;200,"Large Order","Standard Order")</x:f>
        <x:v>Standard Order</x:v>
      </x:c>
    </x:row>
    <x:row r="532">
      <x:c r="A532" t="str">
        <x:v>Dennison Crosswaite</x:v>
      </x:c>
      <x:c r="B532" t="str">
        <x:v>USA</x:v>
      </x:c>
      <x:c r="C532" t="str">
        <x:v>Milk Bars</x:v>
      </x:c>
      <x:c r="D532" s="14" t="n">
        <x:v>44693</x:v>
      </x:c>
      <x:c r="E532" s="16" t="n">
        <x:v>777</x:v>
      </x:c>
      <x:c r="F532" s="18" t="n">
        <x:v>60</x:v>
      </x:c>
      <x:c r="G532" s="20" t="n">
        <x:f>IFERROR(E532/F532,0)</x:f>
        <x:v>12.95</x:v>
      </x:c>
      <x:c r="H532" t="str">
        <x:f>TEXT(D532,"mmm")</x:f>
        <x:v>May</x:v>
      </x:c>
      <x:c r="I532" s="22" t="n">
        <x:f>MONTH(D532)</x:f>
        <x:v>5</x:v>
      </x:c>
      <x:c r="J532" s="22" t="n">
        <x:f>YEAR(D532)</x:f>
        <x:v>2022</x:v>
      </x:c>
      <x:c r="K532" t="str">
        <x:f>IF(F532&gt;200,"Large Order","Standard Order")</x:f>
        <x:v>Standard Order</x:v>
      </x:c>
    </x:row>
    <x:row r="533">
      <x:c r="A533" t="str">
        <x:v>Gunar Cockshoot</x:v>
      </x:c>
      <x:c r="B533" t="str">
        <x:v>USA</x:v>
      </x:c>
      <x:c r="C533" t="str">
        <x:v>Drinking Coco</x:v>
      </x:c>
      <x:c r="D533" s="14" t="n">
        <x:v>44690</x:v>
      </x:c>
      <x:c r="E533" s="16" t="n">
        <x:v>3843</x:v>
      </x:c>
      <x:c r="F533" s="18" t="n">
        <x:v>5</x:v>
      </x:c>
      <x:c r="G533" s="20" t="n">
        <x:f>IFERROR(E533/F533,0)</x:f>
        <x:v>768.6</x:v>
      </x:c>
      <x:c r="H533" t="str">
        <x:f>TEXT(D533,"mmm")</x:f>
        <x:v>May</x:v>
      </x:c>
      <x:c r="I533" s="22" t="n">
        <x:f>MONTH(D533)</x:f>
        <x:v>5</x:v>
      </x:c>
      <x:c r="J533" s="22" t="n">
        <x:f>YEAR(D533)</x:f>
        <x:v>2022</x:v>
      </x:c>
      <x:c r="K533" t="str">
        <x:f>IF(F533&gt;200,"Large Order","Standard Order")</x:f>
        <x:v>Standard Order</x:v>
      </x:c>
    </x:row>
    <x:row r="534">
      <x:c r="A534" t="str">
        <x:v>Brien Boise</x:v>
      </x:c>
      <x:c r="B534" t="str">
        <x:v>Canada</x:v>
      </x:c>
      <x:c r="C534" t="str">
        <x:v>Manuka Honey Choco</x:v>
      </x:c>
      <x:c r="D534" s="14" t="n">
        <x:v>44782</x:v>
      </x:c>
      <x:c r="E534" s="16" t="n">
        <x:v>6930</x:v>
      </x:c>
      <x:c r="F534" s="18" t="n">
        <x:v>182</x:v>
      </x:c>
      <x:c r="G534" s="20" t="n">
        <x:f>IFERROR(E534/F534,0)</x:f>
        <x:v>38.07692307692308</x:v>
      </x:c>
      <x:c r="H534" t="str">
        <x:f>TEXT(D534,"mmm")</x:f>
        <x:v>Aug</x:v>
      </x:c>
      <x:c r="I534" s="22" t="n">
        <x:f>MONTH(D534)</x:f>
        <x:v>8</x:v>
      </x:c>
      <x:c r="J534" s="22" t="n">
        <x:f>YEAR(D534)</x:f>
        <x:v>2022</x:v>
      </x:c>
      <x:c r="K534" t="str">
        <x:f>IF(F534&gt;200,"Large Order","Standard Order")</x:f>
        <x:v>Standard Order</x:v>
      </x:c>
    </x:row>
    <x:row r="535">
      <x:c r="A535" t="str">
        <x:v>Van Tuxwell</x:v>
      </x:c>
      <x:c r="B535" t="str">
        <x:v>India</x:v>
      </x:c>
      <x:c r="C535" t="str">
        <x:v>Choco Coated Almonds</x:v>
      </x:c>
      <x:c r="D535" s="14" t="n">
        <x:v>44664</x:v>
      </x:c>
      <x:c r="E535" s="16" t="n">
        <x:v>5733</x:v>
      </x:c>
      <x:c r="F535" s="18" t="n">
        <x:v>114</x:v>
      </x:c>
      <x:c r="G535" s="20" t="n">
        <x:f>IFERROR(E535/F535,0)</x:f>
        <x:v>50.28947368421053</x:v>
      </x:c>
      <x:c r="H535" t="str">
        <x:f>TEXT(D535,"mmm")</x:f>
        <x:v>Apr</x:v>
      </x:c>
      <x:c r="I535" s="22" t="n">
        <x:f>MONTH(D535)</x:f>
        <x:v>4</x:v>
      </x:c>
      <x:c r="J535" s="22" t="n">
        <x:f>YEAR(D535)</x:f>
        <x:v>2022</x:v>
      </x:c>
      <x:c r="K535" t="str">
        <x:f>IF(F535&gt;200,"Large Order","Standard Order")</x:f>
        <x:v>Standard Order</x:v>
      </x:c>
    </x:row>
    <x:row r="536">
      <x:c r="A536" t="str">
        <x:v>Andria Kimpton</x:v>
      </x:c>
      <x:c r="B536" t="str">
        <x:v>USA</x:v>
      </x:c>
      <x:c r="C536" t="str">
        <x:v>Caramel Stuffed Bars</x:v>
      </x:c>
      <x:c r="D536" s="14" t="n">
        <x:v>44683</x:v>
      </x:c>
      <x:c r="E536" s="16" t="n">
        <x:v>8393</x:v>
      </x:c>
      <x:c r="F536" s="18" t="n">
        <x:v>46</x:v>
      </x:c>
      <x:c r="G536" s="20" t="n">
        <x:f>IFERROR(E536/F536,0)</x:f>
        <x:v>182.45652173913044</x:v>
      </x:c>
      <x:c r="H536" t="str">
        <x:f>TEXT(D536,"mmm")</x:f>
        <x:v>May</x:v>
      </x:c>
      <x:c r="I536" s="22" t="n">
        <x:f>MONTH(D536)</x:f>
        <x:v>5</x:v>
      </x:c>
      <x:c r="J536" s="22" t="n">
        <x:f>YEAR(D536)</x:f>
        <x:v>2022</x:v>
      </x:c>
      <x:c r="K536" t="str">
        <x:f>IF(F536&gt;200,"Large Order","Standard Order")</x:f>
        <x:v>Standard Order</x:v>
      </x:c>
    </x:row>
    <x:row r="537">
      <x:c r="A537" t="str">
        <x:v>Dotty Strutley</x:v>
      </x:c>
      <x:c r="B537" t="str">
        <x:v>USA</x:v>
      </x:c>
      <x:c r="C537" t="str">
        <x:v>99% Dark &amp; Pure</x:v>
      </x:c>
      <x:c r="D537" s="14" t="n">
        <x:v>44782</x:v>
      </x:c>
      <x:c r="E537" s="16" t="n">
        <x:v>3822</x:v>
      </x:c>
      <x:c r="F537" s="18" t="n">
        <x:v>320</x:v>
      </x:c>
      <x:c r="G537" s="20" t="n">
        <x:f>IFERROR(E537/F537,0)</x:f>
        <x:v>11.94375</x:v>
      </x:c>
      <x:c r="H537" t="str">
        <x:f>TEXT(D537,"mmm")</x:f>
        <x:v>Aug</x:v>
      </x:c>
      <x:c r="I537" s="22" t="n">
        <x:f>MONTH(D537)</x:f>
        <x:v>8</x:v>
      </x:c>
      <x:c r="J537" s="22" t="n">
        <x:f>YEAR(D537)</x:f>
        <x:v>2022</x:v>
      </x:c>
      <x:c r="K537" t="str">
        <x:f>IF(F537&gt;200,"Large Order","Standard Order")</x:f>
        <x:v>Large Order</x:v>
      </x:c>
    </x:row>
    <x:row r="538">
      <x:c r="A538" t="str">
        <x:v>Camilla Castle</x:v>
      </x:c>
      <x:c r="B538" t="str">
        <x:v>Australia</x:v>
      </x:c>
      <x:c r="C538" t="str">
        <x:v>Raspberry Choco</x:v>
      </x:c>
      <x:c r="D538" s="14" t="n">
        <x:v>44796</x:v>
      </x:c>
      <x:c r="E538" s="16" t="n">
        <x:v>6342</x:v>
      </x:c>
      <x:c r="F538" s="18" t="n">
        <x:v>178</x:v>
      </x:c>
      <x:c r="G538" s="20" t="n">
        <x:f>IFERROR(E538/F538,0)</x:f>
        <x:v>35.62921348314607</x:v>
      </x:c>
      <x:c r="H538" t="str">
        <x:f>TEXT(D538,"mmm")</x:f>
        <x:v>Aug</x:v>
      </x:c>
      <x:c r="I538" s="22" t="n">
        <x:f>MONTH(D538)</x:f>
        <x:v>8</x:v>
      </x:c>
      <x:c r="J538" s="22" t="n">
        <x:f>YEAR(D538)</x:f>
        <x:v>2022</x:v>
      </x:c>
      <x:c r="K538" t="str">
        <x:f>IF(F538&gt;200,"Large Order","Standard Order")</x:f>
        <x:v>Standard Order</x:v>
      </x:c>
    </x:row>
    <x:row r="539">
      <x:c r="A539" t="str">
        <x:v>Gunar Cockshoot</x:v>
      </x:c>
      <x:c r="B539" t="str">
        <x:v>India</x:v>
      </x:c>
      <x:c r="C539" t="str">
        <x:v>Spicy Special Slims</x:v>
      </x:c>
      <x:c r="D539" s="14" t="n">
        <x:v>44694</x:v>
      </x:c>
      <x:c r="E539" s="16" t="n">
        <x:v>6510</x:v>
      </x:c>
      <x:c r="F539" s="18" t="n">
        <x:v>170</x:v>
      </x:c>
      <x:c r="G539" s="20" t="n">
        <x:f>IFERROR(E539/F539,0)</x:f>
        <x:v>38.294117647058826</x:v>
      </x:c>
      <x:c r="H539" t="str">
        <x:f>TEXT(D539,"mmm")</x:f>
        <x:v>May</x:v>
      </x:c>
      <x:c r="I539" s="22" t="n">
        <x:f>MONTH(D539)</x:f>
        <x:v>5</x:v>
      </x:c>
      <x:c r="J539" s="22" t="n">
        <x:f>YEAR(D539)</x:f>
        <x:v>2022</x:v>
      </x:c>
      <x:c r="K539" t="str">
        <x:f>IF(F539&gt;200,"Large Order","Standard Order")</x:f>
        <x:v>Standard Order</x:v>
      </x:c>
    </x:row>
    <x:row r="540">
      <x:c r="A540" t="str">
        <x:v>Karlen McCaffrey</x:v>
      </x:c>
      <x:c r="B540" t="str">
        <x:v>USA</x:v>
      </x:c>
      <x:c r="C540" t="str">
        <x:v>Manuka Honey Choco</x:v>
      </x:c>
      <x:c r="D540" s="14" t="n">
        <x:v>44593</x:v>
      </x:c>
      <x:c r="E540" s="16" t="n">
        <x:v>10171</x:v>
      </x:c>
      <x:c r="F540" s="18" t="n">
        <x:v>67</x:v>
      </x:c>
      <x:c r="G540" s="20" t="n">
        <x:f>IFERROR(E540/F540,0)</x:f>
        <x:v>151.80597014925374</x:v>
      </x:c>
      <x:c r="H540" t="str">
        <x:f>TEXT(D540,"mmm")</x:f>
        <x:v>Feb</x:v>
      </x:c>
      <x:c r="I540" s="22" t="n">
        <x:f>MONTH(D540)</x:f>
        <x:v>2</x:v>
      </x:c>
      <x:c r="J540" s="22" t="n">
        <x:f>YEAR(D540)</x:f>
        <x:v>2022</x:v>
      </x:c>
      <x:c r="K540" t="str">
        <x:f>IF(F540&gt;200,"Large Order","Standard Order")</x:f>
        <x:v>Standard Order</x:v>
      </x:c>
    </x:row>
    <x:row r="541">
      <x:c r="A541" t="str">
        <x:v>Camilla Castle</x:v>
      </x:c>
      <x:c r="B541" t="str">
        <x:v>USA</x:v>
      </x:c>
      <x:c r="C541" t="str">
        <x:v>50% Dark Bites</x:v>
      </x:c>
      <x:c r="D541" s="14" t="n">
        <x:v>44735</x:v>
      </x:c>
      <x:c r="E541" s="16" t="n">
        <x:v>5908</x:v>
      </x:c>
      <x:c r="F541" s="18" t="n">
        <x:v>301</x:v>
      </x:c>
      <x:c r="G541" s="20" t="n">
        <x:f>IFERROR(E541/F541,0)</x:f>
        <x:v>19.627906976744185</x:v>
      </x:c>
      <x:c r="H541" t="str">
        <x:f>TEXT(D541,"mmm")</x:f>
        <x:v>Jun</x:v>
      </x:c>
      <x:c r="I541" s="22" t="n">
        <x:f>MONTH(D541)</x:f>
        <x:v>6</x:v>
      </x:c>
      <x:c r="J541" s="22" t="n">
        <x:f>YEAR(D541)</x:f>
        <x:v>2022</x:v>
      </x:c>
      <x:c r="K541" t="str">
        <x:f>IF(F541&gt;200,"Large Order","Standard Order")</x:f>
        <x:v>Large Order</x:v>
      </x:c>
    </x:row>
    <x:row r="542">
      <x:c r="A542" t="str">
        <x:v>Madelene Upcott</x:v>
      </x:c>
      <x:c r="B542" t="str">
        <x:v>UK</x:v>
      </x:c>
      <x:c r="C542" t="str">
        <x:v>Choco Coated Almonds</x:v>
      </x:c>
      <x:c r="D542" s="14" t="n">
        <x:v>44705</x:v>
      </x:c>
      <x:c r="E542" s="16" t="n">
        <x:v>10164</x:v>
      </x:c>
      <x:c r="F542" s="18" t="n">
        <x:v>134</x:v>
      </x:c>
      <x:c r="G542" s="20" t="n">
        <x:f>IFERROR(E542/F542,0)</x:f>
        <x:v>75.85074626865672</x:v>
      </x:c>
      <x:c r="H542" t="str">
        <x:f>TEXT(D542,"mmm")</x:f>
        <x:v>May</x:v>
      </x:c>
      <x:c r="I542" s="22" t="n">
        <x:f>MONTH(D542)</x:f>
        <x:v>5</x:v>
      </x:c>
      <x:c r="J542" s="22" t="n">
        <x:f>YEAR(D542)</x:f>
        <x:v>2022</x:v>
      </x:c>
      <x:c r="K542" t="str">
        <x:f>IF(F542&gt;200,"Large Order","Standard Order")</x:f>
        <x:v>Standard Order</x:v>
      </x:c>
    </x:row>
    <x:row r="543">
      <x:c r="A543" t="str">
        <x:v>Jan Morforth</x:v>
      </x:c>
      <x:c r="B543" t="str">
        <x:v>Canada</x:v>
      </x:c>
      <x:c r="C543" t="str">
        <x:v>Mint Chip Choco</x:v>
      </x:c>
      <x:c r="D543" s="14" t="n">
        <x:v>44652</x:v>
      </x:c>
      <x:c r="E543" s="16" t="n">
        <x:v>1064</x:v>
      </x:c>
      <x:c r="F543" s="18" t="n">
        <x:v>211</x:v>
      </x:c>
      <x:c r="G543" s="20" t="n">
        <x:f>IFERROR(E543/F543,0)</x:f>
        <x:v>5.042654028436019</x:v>
      </x:c>
      <x:c r="H543" t="str">
        <x:f>TEXT(D543,"mmm")</x:f>
        <x:v>Apr</x:v>
      </x:c>
      <x:c r="I543" s="22" t="n">
        <x:f>MONTH(D543)</x:f>
        <x:v>4</x:v>
      </x:c>
      <x:c r="J543" s="22" t="n">
        <x:f>YEAR(D543)</x:f>
        <x:v>2022</x:v>
      </x:c>
      <x:c r="K543" t="str">
        <x:f>IF(F543&gt;200,"Large Order","Standard Order")</x:f>
        <x:v>Large Order</x:v>
      </x:c>
    </x:row>
    <x:row r="544">
      <x:c r="A544" t="str">
        <x:v>Camilla Castle</x:v>
      </x:c>
      <x:c r="B544" t="str">
        <x:v>Canada</x:v>
      </x:c>
      <x:c r="C544" t="str">
        <x:v>70% Dark Bites</x:v>
      </x:c>
      <x:c r="D544" s="14" t="n">
        <x:v>44769</x:v>
      </x:c>
      <x:c r="E544" s="16" t="n">
        <x:v>9716</x:v>
      </x:c>
      <x:c r="F544" s="18" t="n">
        <x:v>151</x:v>
      </x:c>
      <x:c r="G544" s="20" t="n">
        <x:f>IFERROR(E544/F544,0)</x:f>
        <x:v>64.34437086092716</x:v>
      </x:c>
      <x:c r="H544" t="str">
        <x:f>TEXT(D544,"mmm")</x:f>
        <x:v>Jul</x:v>
      </x:c>
      <x:c r="I544" s="22" t="n">
        <x:f>MONTH(D544)</x:f>
        <x:v>7</x:v>
      </x:c>
      <x:c r="J544" s="22" t="n">
        <x:f>YEAR(D544)</x:f>
        <x:v>2022</x:v>
      </x:c>
      <x:c r="K544" t="str">
        <x:f>IF(F544&gt;200,"Large Order","Standard Order")</x:f>
        <x:v>Standard Order</x:v>
      </x:c>
    </x:row>
    <x:row r="545">
      <x:c r="A545" t="str">
        <x:v>Ches Bonnell</x:v>
      </x:c>
      <x:c r="B545" t="str">
        <x:v>India</x:v>
      </x:c>
      <x:c r="C545" t="str">
        <x:v>Peanut Butter Cubes</x:v>
      </x:c>
      <x:c r="D545" s="14" t="n">
        <x:v>44588</x:v>
      </x:c>
      <x:c r="E545" s="16" t="n">
        <x:v>22050</x:v>
      </x:c>
      <x:c r="F545" s="18" t="n">
        <x:v>208</x:v>
      </x:c>
      <x:c r="G545" s="20" t="n">
        <x:f>IFERROR(E545/F545,0)</x:f>
        <x:v>106.00961538461539</x:v>
      </x:c>
      <x:c r="H545" t="str">
        <x:f>TEXT(D545,"mmm")</x:f>
        <x:v>Jan</x:v>
      </x:c>
      <x:c r="I545" s="22" t="n">
        <x:f>MONTH(D545)</x:f>
        <x:v>1</x:v>
      </x:c>
      <x:c r="J545" s="22" t="n">
        <x:f>YEAR(D545)</x:f>
        <x:v>2022</x:v>
      </x:c>
      <x:c r="K545" t="str">
        <x:f>IF(F545&gt;200,"Large Order","Standard Order")</x:f>
        <x:v>Large Order</x:v>
      </x:c>
    </x:row>
    <x:row r="546">
      <x:c r="A546" t="str">
        <x:v>Jan Morforth</x:v>
      </x:c>
      <x:c r="B546" t="str">
        <x:v>India</x:v>
      </x:c>
      <x:c r="C546" t="str">
        <x:v>Choco Coated Almonds</x:v>
      </x:c>
      <x:c r="D546" s="14" t="n">
        <x:v>44785</x:v>
      </x:c>
      <x:c r="E546" s="16" t="n">
        <x:v>2541</x:v>
      </x:c>
      <x:c r="F546" s="18" t="n">
        <x:v>134</x:v>
      </x:c>
      <x:c r="G546" s="20" t="n">
        <x:f>IFERROR(E546/F546,0)</x:f>
        <x:v>18.96268656716418</x:v>
      </x:c>
      <x:c r="H546" t="str">
        <x:f>TEXT(D546,"mmm")</x:f>
        <x:v>Aug</x:v>
      </x:c>
      <x:c r="I546" s="22" t="n">
        <x:f>MONTH(D546)</x:f>
        <x:v>8</x:v>
      </x:c>
      <x:c r="J546" s="22" t="n">
        <x:f>YEAR(D546)</x:f>
        <x:v>2022</x:v>
      </x:c>
      <x:c r="K546" t="str">
        <x:f>IF(F546&gt;200,"Large Order","Standard Order")</x:f>
        <x:v>Standard Order</x:v>
      </x:c>
    </x:row>
    <x:row r="547">
      <x:c r="A547" t="str">
        <x:v>Gigi Bohling</x:v>
      </x:c>
      <x:c r="B547" t="str">
        <x:v>Canada</x:v>
      </x:c>
      <x:c r="C547" t="str">
        <x:v>Almond Choco</x:v>
      </x:c>
      <x:c r="D547" s="14" t="n">
        <x:v>44593</x:v>
      </x:c>
      <x:c r="E547" s="16" t="n">
        <x:v>9989</x:v>
      </x:c>
      <x:c r="F547" s="18" t="n">
        <x:v>49</x:v>
      </x:c>
      <x:c r="G547" s="20" t="n">
        <x:f>IFERROR(E547/F547,0)</x:f>
        <x:v>203.85714285714286</x:v>
      </x:c>
      <x:c r="H547" t="str">
        <x:f>TEXT(D547,"mmm")</x:f>
        <x:v>Feb</x:v>
      </x:c>
      <x:c r="I547" s="22" t="n">
        <x:f>MONTH(D547)</x:f>
        <x:v>2</x:v>
      </x:c>
      <x:c r="J547" s="22" t="n">
        <x:f>YEAR(D547)</x:f>
        <x:v>2022</x:v>
      </x:c>
      <x:c r="K547" t="str">
        <x:f>IF(F547&gt;200,"Large Order","Standard Order")</x:f>
        <x:v>Standard Order</x:v>
      </x:c>
    </x:row>
    <x:row r="548">
      <x:c r="A548" t="str">
        <x:v>Rafaelita Blaksland</x:v>
      </x:c>
      <x:c r="B548" t="str">
        <x:v>India</x:v>
      </x:c>
      <x:c r="C548" t="str">
        <x:v>After Nines</x:v>
      </x:c>
      <x:c r="D548" s="14" t="n">
        <x:v>44622</x:v>
      </x:c>
      <x:c r="E548" s="16" t="n">
        <x:v>4739</x:v>
      </x:c>
      <x:c r="F548" s="18" t="n">
        <x:v>204</x:v>
      </x:c>
      <x:c r="G548" s="20" t="n">
        <x:f>IFERROR(E548/F548,0)</x:f>
        <x:v>23.230392156862745</x:v>
      </x:c>
      <x:c r="H548" t="str">
        <x:f>TEXT(D548,"mmm")</x:f>
        <x:v>Mar</x:v>
      </x:c>
      <x:c r="I548" s="22" t="n">
        <x:f>MONTH(D548)</x:f>
        <x:v>3</x:v>
      </x:c>
      <x:c r="J548" s="22" t="n">
        <x:f>YEAR(D548)</x:f>
        <x:v>2022</x:v>
      </x:c>
      <x:c r="K548" t="str">
        <x:f>IF(F548&gt;200,"Large Order","Standard Order")</x:f>
        <x:v>Large Order</x:v>
      </x:c>
    </x:row>
    <x:row r="549">
      <x:c r="A549" t="str">
        <x:v>Kelci Walkden</x:v>
      </x:c>
      <x:c r="B549" t="str">
        <x:v>Australia</x:v>
      </x:c>
      <x:c r="C549" t="str">
        <x:v>99% Dark &amp; Pure</x:v>
      </x:c>
      <x:c r="D549" s="14" t="n">
        <x:v>44742</x:v>
      </x:c>
      <x:c r="E549" s="16" t="n">
        <x:v>3185</x:v>
      </x:c>
      <x:c r="F549" s="18" t="n">
        <x:v>34</x:v>
      </x:c>
      <x:c r="G549" s="20" t="n">
        <x:f>IFERROR(E549/F549,0)</x:f>
        <x:v>93.67647058823529</x:v>
      </x:c>
      <x:c r="H549" t="str">
        <x:f>TEXT(D549,"mmm")</x:f>
        <x:v>Jun</x:v>
      </x:c>
      <x:c r="I549" s="22" t="n">
        <x:f>MONTH(D549)</x:f>
        <x:v>6</x:v>
      </x:c>
      <x:c r="J549" s="22" t="n">
        <x:f>YEAR(D549)</x:f>
        <x:v>2022</x:v>
      </x:c>
      <x:c r="K549" t="str">
        <x:f>IF(F549&gt;200,"Large Order","Standard Order")</x:f>
        <x:v>Standard Order</x:v>
      </x:c>
    </x:row>
    <x:row r="550">
      <x:c r="A550" t="str">
        <x:v>Dotty Strutley</x:v>
      </x:c>
      <x:c r="B550" t="str">
        <x:v>Australia</x:v>
      </x:c>
      <x:c r="C550" t="str">
        <x:v>Spicy Special Slims</x:v>
      </x:c>
      <x:c r="D550" s="14" t="n">
        <x:v>44578</x:v>
      </x:c>
      <x:c r="E550" s="16" t="n">
        <x:v>8225</x:v>
      </x:c>
      <x:c r="F550" s="18" t="n">
        <x:v>91</x:v>
      </x:c>
      <x:c r="G550" s="20" t="n">
        <x:f>IFERROR(E550/F550,0)</x:f>
        <x:v>90.38461538461539</x:v>
      </x:c>
      <x:c r="H550" t="str">
        <x:f>TEXT(D550,"mmm")</x:f>
        <x:v>Jan</x:v>
      </x:c>
      <x:c r="I550" s="22" t="n">
        <x:f>MONTH(D550)</x:f>
        <x:v>1</x:v>
      </x:c>
      <x:c r="J550" s="22" t="n">
        <x:f>YEAR(D550)</x:f>
        <x:v>2022</x:v>
      </x:c>
      <x:c r="K550" t="str">
        <x:f>IF(F550&gt;200,"Large Order","Standard Order")</x:f>
        <x:v>Standard Order</x:v>
      </x:c>
    </x:row>
    <x:row r="551">
      <x:c r="A551" t="str">
        <x:v>Brien Boise</x:v>
      </x:c>
      <x:c r="B551" t="str">
        <x:v>USA</x:v>
      </x:c>
      <x:c r="C551" t="str">
        <x:v>Milk Bars</x:v>
      </x:c>
      <x:c r="D551" s="14" t="n">
        <x:v>44749</x:v>
      </x:c>
      <x:c r="E551" s="16" t="n">
        <x:v>14301</x:v>
      </x:c>
      <x:c r="F551" s="18" t="n">
        <x:v>130</x:v>
      </x:c>
      <x:c r="G551" s="20" t="n">
        <x:f>IFERROR(E551/F551,0)</x:f>
        <x:v>110.00769230769231</x:v>
      </x:c>
      <x:c r="H551" t="str">
        <x:f>TEXT(D551,"mmm")</x:f>
        <x:v>Jul</x:v>
      </x:c>
      <x:c r="I551" s="22" t="n">
        <x:f>MONTH(D551)</x:f>
        <x:v>7</x:v>
      </x:c>
      <x:c r="J551" s="22" t="n">
        <x:f>YEAR(D551)</x:f>
        <x:v>2022</x:v>
      </x:c>
      <x:c r="K551" t="str">
        <x:f>IF(F551&gt;200,"Large Order","Standard Order")</x:f>
        <x:v>Standard Order</x:v>
      </x:c>
    </x:row>
    <x:row r="552">
      <x:c r="A552" t="str">
        <x:v>Mallorie Waber</x:v>
      </x:c>
      <x:c r="B552" t="str">
        <x:v>New Zealand</x:v>
      </x:c>
      <x:c r="C552" t="str">
        <x:v>Mint Chip Choco</x:v>
      </x:c>
      <x:c r="D552" s="14" t="n">
        <x:v>44592</x:v>
      </x:c>
      <x:c r="E552" s="16" t="n">
        <x:v>1316</x:v>
      </x:c>
      <x:c r="F552" s="18" t="n">
        <x:v>107</x:v>
      </x:c>
      <x:c r="G552" s="20" t="n">
        <x:f>IFERROR(E552/F552,0)</x:f>
        <x:v>12.299065420560748</x:v>
      </x:c>
      <x:c r="H552" t="str">
        <x:f>TEXT(D552,"mmm")</x:f>
        <x:v>Jan</x:v>
      </x:c>
      <x:c r="I552" s="22" t="n">
        <x:f>MONTH(D552)</x:f>
        <x:v>1</x:v>
      </x:c>
      <x:c r="J552" s="22" t="n">
        <x:f>YEAR(D552)</x:f>
        <x:v>2022</x:v>
      </x:c>
      <x:c r="K552" t="str">
        <x:f>IF(F552&gt;200,"Large Order","Standard Order")</x:f>
        <x:v>Standard Order</x:v>
      </x:c>
    </x:row>
    <x:row r="553">
      <x:c r="A553" t="str">
        <x:v>Beverie Moffet</x:v>
      </x:c>
      <x:c r="B553" t="str">
        <x:v>UK</x:v>
      </x:c>
      <x:c r="C553" t="str">
        <x:v>99% Dark &amp; Pure</x:v>
      </x:c>
      <x:c r="D553" s="14" t="n">
        <x:v>44783</x:v>
      </x:c>
      <x:c r="E553" s="16" t="n">
        <x:v>3486</x:v>
      </x:c>
      <x:c r="F553" s="18" t="n">
        <x:v>121</x:v>
      </x:c>
      <x:c r="G553" s="20" t="n">
        <x:f>IFERROR(E553/F553,0)</x:f>
        <x:v>28.8099173553719</x:v>
      </x:c>
      <x:c r="H553" t="str">
        <x:f>TEXT(D553,"mmm")</x:f>
        <x:v>Aug</x:v>
      </x:c>
      <x:c r="I553" s="22" t="n">
        <x:f>MONTH(D553)</x:f>
        <x:v>8</x:v>
      </x:c>
      <x:c r="J553" s="22" t="n">
        <x:f>YEAR(D553)</x:f>
        <x:v>2022</x:v>
      </x:c>
      <x:c r="K553" t="str">
        <x:f>IF(F553&gt;200,"Large Order","Standard Order")</x:f>
        <x:v>Standard Order</x:v>
      </x:c>
    </x:row>
    <x:row r="554">
      <x:c r="A554" t="str">
        <x:v>Beverie Moffet</x:v>
      </x:c>
      <x:c r="B554" t="str">
        <x:v>USA</x:v>
      </x:c>
      <x:c r="C554" t="str">
        <x:v>Peanut Butter Cubes</x:v>
      </x:c>
      <x:c r="D554" s="14" t="n">
        <x:v>44791</x:v>
      </x:c>
      <x:c r="E554" s="16" t="n">
        <x:v>13930</x:v>
      </x:c>
      <x:c r="F554" s="18" t="n">
        <x:v>339</x:v>
      </x:c>
      <x:c r="G554" s="20" t="n">
        <x:f>IFERROR(E554/F554,0)</x:f>
        <x:v>41.091445427728615</x:v>
      </x:c>
      <x:c r="H554" t="str">
        <x:f>TEXT(D554,"mmm")</x:f>
        <x:v>Aug</x:v>
      </x:c>
      <x:c r="I554" s="22" t="n">
        <x:f>MONTH(D554)</x:f>
        <x:v>8</x:v>
      </x:c>
      <x:c r="J554" s="22" t="n">
        <x:f>YEAR(D554)</x:f>
        <x:v>2022</x:v>
      </x:c>
      <x:c r="K554" t="str">
        <x:f>IF(F554&gt;200,"Large Order","Standard Order")</x:f>
        <x:v>Large Order</x:v>
      </x:c>
    </x:row>
    <x:row r="555">
      <x:c r="A555" t="str">
        <x:v>Brien Boise</x:v>
      </x:c>
      <x:c r="B555" t="str">
        <x:v>New Zealand</x:v>
      </x:c>
      <x:c r="C555" t="str">
        <x:v>White Choc</x:v>
      </x:c>
      <x:c r="D555" s="14" t="n">
        <x:v>44727</x:v>
      </x:c>
      <x:c r="E555" s="16" t="n">
        <x:v>5509</x:v>
      </x:c>
      <x:c r="F555" s="18" t="n">
        <x:v>321</x:v>
      </x:c>
      <x:c r="G555" s="20" t="n">
        <x:f>IFERROR(E555/F555,0)</x:f>
        <x:v>17.161993769470406</x:v>
      </x:c>
      <x:c r="H555" t="str">
        <x:f>TEXT(D555,"mmm")</x:f>
        <x:v>Jun</x:v>
      </x:c>
      <x:c r="I555" s="22" t="n">
        <x:f>MONTH(D555)</x:f>
        <x:v>6</x:v>
      </x:c>
      <x:c r="J555" s="22" t="n">
        <x:f>YEAR(D555)</x:f>
        <x:v>2022</x:v>
      </x:c>
      <x:c r="K555" t="str">
        <x:f>IF(F555&gt;200,"Large Order","Standard Order")</x:f>
        <x:v>Large Order</x:v>
      </x:c>
    </x:row>
    <x:row r="556">
      <x:c r="A556" t="str">
        <x:v>Marney O'Breen</x:v>
      </x:c>
      <x:c r="B556" t="str">
        <x:v>USA</x:v>
      </x:c>
      <x:c r="C556" t="str">
        <x:v>Baker's Choco Chips</x:v>
      </x:c>
      <x:c r="D556" s="14" t="n">
        <x:v>44587</x:v>
      </x:c>
      <x:c r="E556" s="16" t="n">
        <x:v>8470</x:v>
      </x:c>
      <x:c r="F556" s="18" t="n">
        <x:v>9</x:v>
      </x:c>
      <x:c r="G556" s="20" t="n">
        <x:f>IFERROR(E556/F556,0)</x:f>
        <x:v>941.1111111111111</x:v>
      </x:c>
      <x:c r="H556" t="str">
        <x:f>TEXT(D556,"mmm")</x:f>
        <x:v>Jan</x:v>
      </x:c>
      <x:c r="I556" s="22" t="n">
        <x:f>MONTH(D556)</x:f>
        <x:v>1</x:v>
      </x:c>
      <x:c r="J556" s="22" t="n">
        <x:f>YEAR(D556)</x:f>
        <x:v>2022</x:v>
      </x:c>
      <x:c r="K556" t="str">
        <x:f>IF(F556&gt;200,"Large Order","Standard Order")</x:f>
        <x:v>Standard Order</x:v>
      </x:c>
    </x:row>
    <x:row r="557">
      <x:c r="A557" t="str">
        <x:v>Kelci Walkden</x:v>
      </x:c>
      <x:c r="B557" t="str">
        <x:v>USA</x:v>
      </x:c>
      <x:c r="C557" t="str">
        <x:v>Spicy Special Slims</x:v>
      </x:c>
      <x:c r="D557" s="14" t="n">
        <x:v>44680</x:v>
      </x:c>
      <x:c r="E557" s="16" t="n">
        <x:v>77</x:v>
      </x:c>
      <x:c r="F557" s="18" t="n">
        <x:v>69</x:v>
      </x:c>
      <x:c r="G557" s="20" t="n">
        <x:f>IFERROR(E557/F557,0)</x:f>
        <x:v>1.1159420289855073</x:v>
      </x:c>
      <x:c r="H557" t="str">
        <x:f>TEXT(D557,"mmm")</x:f>
        <x:v>Apr</x:v>
      </x:c>
      <x:c r="I557" s="22" t="n">
        <x:f>MONTH(D557)</x:f>
        <x:v>4</x:v>
      </x:c>
      <x:c r="J557" s="22" t="n">
        <x:f>YEAR(D557)</x:f>
        <x:v>2022</x:v>
      </x:c>
      <x:c r="K557" t="str">
        <x:f>IF(F557&gt;200,"Large Order","Standard Order")</x:f>
        <x:v>Standard Order</x:v>
      </x:c>
    </x:row>
    <x:row r="558">
      <x:c r="A558" t="str">
        <x:v>Mallorie Waber</x:v>
      </x:c>
      <x:c r="B558" t="str">
        <x:v>Canada</x:v>
      </x:c>
      <x:c r="C558" t="str">
        <x:v>White Choc</x:v>
      </x:c>
      <x:c r="D558" s="14" t="n">
        <x:v>44623</x:v>
      </x:c>
      <x:c r="E558" s="16" t="n">
        <x:v>3381</x:v>
      </x:c>
      <x:c r="F558" s="18" t="n">
        <x:v>72</x:v>
      </x:c>
      <x:c r="G558" s="20" t="n">
        <x:f>IFERROR(E558/F558,0)</x:f>
        <x:v>46.958333333333336</x:v>
      </x:c>
      <x:c r="H558" t="str">
        <x:f>TEXT(D558,"mmm")</x:f>
        <x:v>Mar</x:v>
      </x:c>
      <x:c r="I558" s="22" t="n">
        <x:f>MONTH(D558)</x:f>
        <x:v>3</x:v>
      </x:c>
      <x:c r="J558" s="22" t="n">
        <x:f>YEAR(D558)</x:f>
        <x:v>2022</x:v>
      </x:c>
      <x:c r="K558" t="str">
        <x:f>IF(F558&gt;200,"Large Order","Standard Order")</x:f>
        <x:v>Standard Order</x:v>
      </x:c>
    </x:row>
    <x:row r="559">
      <x:c r="A559" t="str">
        <x:v>Kaine Padly</x:v>
      </x:c>
      <x:c r="B559" t="str">
        <x:v>Australia</x:v>
      </x:c>
      <x:c r="C559" t="str">
        <x:v>Almond Choco</x:v>
      </x:c>
      <x:c r="D559" s="14" t="n">
        <x:v>44614</x:v>
      </x:c>
      <x:c r="E559" s="16" t="n">
        <x:v>4102</x:v>
      </x:c>
      <x:c r="F559" s="18" t="n">
        <x:v>392</x:v>
      </x:c>
      <x:c r="G559" s="20" t="n">
        <x:f>IFERROR(E559/F559,0)</x:f>
        <x:v>10.464285714285714</x:v>
      </x:c>
      <x:c r="H559" t="str">
        <x:f>TEXT(D559,"mmm")</x:f>
        <x:v>Feb</x:v>
      </x:c>
      <x:c r="I559" s="22" t="n">
        <x:f>MONTH(D559)</x:f>
        <x:v>2</x:v>
      </x:c>
      <x:c r="J559" s="22" t="n">
        <x:f>YEAR(D559)</x:f>
        <x:v>2022</x:v>
      </x:c>
      <x:c r="K559" t="str">
        <x:f>IF(F559&gt;200,"Large Order","Standard Order")</x:f>
        <x:v>Large Order</x:v>
      </x:c>
    </x:row>
    <x:row r="560">
      <x:c r="A560" t="str">
        <x:v>Oby Sorrel</x:v>
      </x:c>
      <x:c r="B560" t="str">
        <x:v>USA</x:v>
      </x:c>
      <x:c r="C560" t="str">
        <x:v>Smooth Silky Salty</x:v>
      </x:c>
      <x:c r="D560" s="14" t="n">
        <x:v>44624</x:v>
      </x:c>
      <x:c r="E560" s="16" t="n">
        <x:v>3577</x:v>
      </x:c>
      <x:c r="F560" s="18" t="n">
        <x:v>158</x:v>
      </x:c>
      <x:c r="G560" s="20" t="n">
        <x:f>IFERROR(E560/F560,0)</x:f>
        <x:v>22.639240506329113</x:v>
      </x:c>
      <x:c r="H560" t="str">
        <x:f>TEXT(D560,"mmm")</x:f>
        <x:v>Mar</x:v>
      </x:c>
      <x:c r="I560" s="22" t="n">
        <x:f>MONTH(D560)</x:f>
        <x:v>3</x:v>
      </x:c>
      <x:c r="J560" s="22" t="n">
        <x:f>YEAR(D560)</x:f>
        <x:v>2022</x:v>
      </x:c>
      <x:c r="K560" t="str">
        <x:f>IF(F560&gt;200,"Large Order","Standard Order")</x:f>
        <x:v>Standard Order</x:v>
      </x:c>
    </x:row>
    <x:row r="561">
      <x:c r="A561" t="str">
        <x:v>Dennison Crosswaite</x:v>
      </x:c>
      <x:c r="B561" t="str">
        <x:v>India</x:v>
      </x:c>
      <x:c r="C561" t="str">
        <x:v>Smooth Silky Salty</x:v>
      </x:c>
      <x:c r="D561" s="14" t="n">
        <x:v>44749</x:v>
      </x:c>
      <x:c r="E561" s="16" t="n">
        <x:v>2975</x:v>
      </x:c>
      <x:c r="F561" s="18" t="n">
        <x:v>9</x:v>
      </x:c>
      <x:c r="G561" s="20" t="n">
        <x:f>IFERROR(E561/F561,0)</x:f>
        <x:v>330.55555555555554</x:v>
      </x:c>
      <x:c r="H561" t="str">
        <x:f>TEXT(D561,"mmm")</x:f>
        <x:v>Jul</x:v>
      </x:c>
      <x:c r="I561" s="22" t="n">
        <x:f>MONTH(D561)</x:f>
        <x:v>7</x:v>
      </x:c>
      <x:c r="J561" s="22" t="n">
        <x:f>YEAR(D561)</x:f>
        <x:v>2022</x:v>
      </x:c>
      <x:c r="K561" t="str">
        <x:f>IF(F561&gt;200,"Large Order","Standard Order")</x:f>
        <x:v>Standard Order</x:v>
      </x:c>
    </x:row>
    <x:row r="562">
      <x:c r="A562" t="str">
        <x:v>Camilla Castle</x:v>
      </x:c>
      <x:c r="B562" t="str">
        <x:v>New Zealand</x:v>
      </x:c>
      <x:c r="C562" t="str">
        <x:v>Caramel Stuffed Bars</x:v>
      </x:c>
      <x:c r="D562" s="14" t="n">
        <x:v>44729</x:v>
      </x:c>
      <x:c r="E562" s="16" t="n">
        <x:v>4137</x:v>
      </x:c>
      <x:c r="F562" s="18" t="n">
        <x:v>347</x:v>
      </x:c>
      <x:c r="G562" s="20" t="n">
        <x:f>IFERROR(E562/F562,0)</x:f>
        <x:v>11.922190201729107</x:v>
      </x:c>
      <x:c r="H562" t="str">
        <x:f>TEXT(D562,"mmm")</x:f>
        <x:v>Jun</x:v>
      </x:c>
      <x:c r="I562" s="22" t="n">
        <x:f>MONTH(D562)</x:f>
        <x:v>6</x:v>
      </x:c>
      <x:c r="J562" s="22" t="n">
        <x:f>YEAR(D562)</x:f>
        <x:v>2022</x:v>
      </x:c>
      <x:c r="K562" t="str">
        <x:f>IF(F562&gt;200,"Large Order","Standard Order")</x:f>
        <x:v>Large Order</x:v>
      </x:c>
    </x:row>
    <x:row r="563">
      <x:c r="A563" t="str">
        <x:v>Jan Morforth</x:v>
      </x:c>
      <x:c r="B563" t="str">
        <x:v>Canada</x:v>
      </x:c>
      <x:c r="C563" t="str">
        <x:v>Caramel Stuffed Bars</x:v>
      </x:c>
      <x:c r="D563" s="14" t="n">
        <x:v>44775</x:v>
      </x:c>
      <x:c r="E563" s="16" t="n">
        <x:v>9541</x:v>
      </x:c>
      <x:c r="F563" s="18" t="n">
        <x:v>114</x:v>
      </x:c>
      <x:c r="G563" s="20" t="n">
        <x:f>IFERROR(E563/F563,0)</x:f>
        <x:v>83.69298245614036</x:v>
      </x:c>
      <x:c r="H563" t="str">
        <x:f>TEXT(D563,"mmm")</x:f>
        <x:v>Aug</x:v>
      </x:c>
      <x:c r="I563" s="22" t="n">
        <x:f>MONTH(D563)</x:f>
        <x:v>8</x:v>
      </x:c>
      <x:c r="J563" s="22" t="n">
        <x:f>YEAR(D563)</x:f>
        <x:v>2022</x:v>
      </x:c>
      <x:c r="K563" t="str">
        <x:f>IF(F563&gt;200,"Large Order","Standard Order")</x:f>
        <x:v>Standard Order</x:v>
      </x:c>
    </x:row>
    <x:row r="564">
      <x:c r="A564" t="str">
        <x:v>Oby Sorrel</x:v>
      </x:c>
      <x:c r="B564" t="str">
        <x:v>USA</x:v>
      </x:c>
      <x:c r="C564" t="str">
        <x:v>Baker's Choco Chips</x:v>
      </x:c>
      <x:c r="D564" s="14" t="n">
        <x:v>44785</x:v>
      </x:c>
      <x:c r="E564" s="16" t="n">
        <x:v>8001</x:v>
      </x:c>
      <x:c r="F564" s="18" t="n">
        <x:v>120</x:v>
      </x:c>
      <x:c r="G564" s="20" t="n">
        <x:f>IFERROR(E564/F564,0)</x:f>
        <x:v>66.675</x:v>
      </x:c>
      <x:c r="H564" t="str">
        <x:f>TEXT(D564,"mmm")</x:f>
        <x:v>Aug</x:v>
      </x:c>
      <x:c r="I564" s="22" t="n">
        <x:f>MONTH(D564)</x:f>
        <x:v>8</x:v>
      </x:c>
      <x:c r="J564" s="22" t="n">
        <x:f>YEAR(D564)</x:f>
        <x:v>2022</x:v>
      </x:c>
      <x:c r="K564" t="str">
        <x:f>IF(F564&gt;200,"Large Order","Standard Order")</x:f>
        <x:v>Standard Order</x:v>
      </x:c>
    </x:row>
    <x:row r="565">
      <x:c r="A565" t="str">
        <x:v>Madelene Upcott</x:v>
      </x:c>
      <x:c r="B565" t="str">
        <x:v>New Zealand</x:v>
      </x:c>
      <x:c r="C565" t="str">
        <x:v>Peanut Butter Cubes</x:v>
      </x:c>
      <x:c r="D565" s="14" t="n">
        <x:v>44589</x:v>
      </x:c>
      <x:c r="E565" s="16" t="n">
        <x:v>5152</x:v>
      </x:c>
      <x:c r="F565" s="18" t="n">
        <x:v>333</x:v>
      </x:c>
      <x:c r="G565" s="20" t="n">
        <x:f>IFERROR(E565/F565,0)</x:f>
        <x:v>15.471471471471471</x:v>
      </x:c>
      <x:c r="H565" t="str">
        <x:f>TEXT(D565,"mmm")</x:f>
        <x:v>Jan</x:v>
      </x:c>
      <x:c r="I565" s="22" t="n">
        <x:f>MONTH(D565)</x:f>
        <x:v>1</x:v>
      </x:c>
      <x:c r="J565" s="22" t="n">
        <x:f>YEAR(D565)</x:f>
        <x:v>2022</x:v>
      </x:c>
      <x:c r="K565" t="str">
        <x:f>IF(F565&gt;200,"Large Order","Standard Order")</x:f>
        <x:v>Large Order</x:v>
      </x:c>
    </x:row>
    <x:row r="566">
      <x:c r="A566" t="str">
        <x:v>Kelci Walkden</x:v>
      </x:c>
      <x:c r="B566" t="str">
        <x:v>Australia</x:v>
      </x:c>
      <x:c r="C566" t="str">
        <x:v>Orange Choco</x:v>
      </x:c>
      <x:c r="D566" s="14" t="n">
        <x:v>44680</x:v>
      </x:c>
      <x:c r="E566" s="16" t="n">
        <x:v>11116</x:v>
      </x:c>
      <x:c r="F566" s="18" t="n">
        <x:v>432</x:v>
      </x:c>
      <x:c r="G566" s="20" t="n">
        <x:f>IFERROR(E566/F566,0)</x:f>
        <x:v>25.73148148148148</x:v>
      </x:c>
      <x:c r="H566" t="str">
        <x:f>TEXT(D566,"mmm")</x:f>
        <x:v>Apr</x:v>
      </x:c>
      <x:c r="I566" s="22" t="n">
        <x:f>MONTH(D566)</x:f>
        <x:v>4</x:v>
      </x:c>
      <x:c r="J566" s="22" t="n">
        <x:f>YEAR(D566)</x:f>
        <x:v>2022</x:v>
      </x:c>
      <x:c r="K566" t="str">
        <x:f>IF(F566&gt;200,"Large Order","Standard Order")</x:f>
        <x:v>Large Order</x:v>
      </x:c>
    </x:row>
    <x:row r="567">
      <x:c r="A567" t="str">
        <x:v>Marney O'Breen</x:v>
      </x:c>
      <x:c r="B567" t="str">
        <x:v>Australia</x:v>
      </x:c>
      <x:c r="C567" t="str">
        <x:v>Manuka Honey Choco</x:v>
      </x:c>
      <x:c r="D567" s="14" t="n">
        <x:v>44656</x:v>
      </x:c>
      <x:c r="E567" s="16" t="n">
        <x:v>13076</x:v>
      </x:c>
      <x:c r="F567" s="18" t="n">
        <x:v>236</x:v>
      </x:c>
      <x:c r="G567" s="20" t="n">
        <x:f>IFERROR(E567/F567,0)</x:f>
        <x:v>55.40677966101695</x:v>
      </x:c>
      <x:c r="H567" t="str">
        <x:f>TEXT(D567,"mmm")</x:f>
        <x:v>Apr</x:v>
      </x:c>
      <x:c r="I567" s="22" t="n">
        <x:f>MONTH(D567)</x:f>
        <x:v>4</x:v>
      </x:c>
      <x:c r="J567" s="22" t="n">
        <x:f>YEAR(D567)</x:f>
        <x:v>2022</x:v>
      </x:c>
      <x:c r="K567" t="str">
        <x:f>IF(F567&gt;200,"Large Order","Standard Order")</x:f>
        <x:v>Large Order</x:v>
      </x:c>
    </x:row>
    <x:row r="568">
      <x:c r="A568" t="str">
        <x:v>Kaine Padly</x:v>
      </x:c>
      <x:c r="B568" t="str">
        <x:v>Canada</x:v>
      </x:c>
      <x:c r="C568" t="str">
        <x:v>Manuka Honey Choco</x:v>
      </x:c>
      <x:c r="D568" s="14" t="n">
        <x:v>44579</x:v>
      </x:c>
      <x:c r="E568" s="16" t="n">
        <x:v>10213</x:v>
      </x:c>
      <x:c r="F568" s="18" t="n">
        <x:v>135</x:v>
      </x:c>
      <x:c r="G568" s="20" t="n">
        <x:f>IFERROR(E568/F568,0)</x:f>
        <x:v>75.65185185185184</x:v>
      </x:c>
      <x:c r="H568" t="str">
        <x:f>TEXT(D568,"mmm")</x:f>
        <x:v>Jan</x:v>
      </x:c>
      <x:c r="I568" s="22" t="n">
        <x:f>MONTH(D568)</x:f>
        <x:v>1</x:v>
      </x:c>
      <x:c r="J568" s="22" t="n">
        <x:f>YEAR(D568)</x:f>
        <x:v>2022</x:v>
      </x:c>
      <x:c r="K568" t="str">
        <x:f>IF(F568&gt;200,"Large Order","Standard Order")</x:f>
        <x:v>Standard Order</x:v>
      </x:c>
    </x:row>
    <x:row r="569">
      <x:c r="A569" t="str">
        <x:v>Jehu Rudeforth</x:v>
      </x:c>
      <x:c r="B569" t="str">
        <x:v>UK</x:v>
      </x:c>
      <x:c r="C569" t="str">
        <x:v>Baker's Choco Chips</x:v>
      </x:c>
      <x:c r="D569" s="14" t="n">
        <x:v>44697</x:v>
      </x:c>
      <x:c r="E569" s="16" t="n">
        <x:v>2485</x:v>
      </x:c>
      <x:c r="F569" s="18" t="n">
        <x:v>97</x:v>
      </x:c>
      <x:c r="G569" s="20" t="n">
        <x:f>IFERROR(E569/F569,0)</x:f>
        <x:v>25.61855670103093</x:v>
      </x:c>
      <x:c r="H569" t="str">
        <x:f>TEXT(D569,"mmm")</x:f>
        <x:v>May</x:v>
      </x:c>
      <x:c r="I569" s="22" t="n">
        <x:f>MONTH(D569)</x:f>
        <x:v>5</x:v>
      </x:c>
      <x:c r="J569" s="22" t="n">
        <x:f>YEAR(D569)</x:f>
        <x:v>2022</x:v>
      </x:c>
      <x:c r="K569" t="str">
        <x:f>IF(F569&gt;200,"Large Order","Standard Order")</x:f>
        <x:v>Standard Order</x:v>
      </x:c>
    </x:row>
    <x:row r="570">
      <x:c r="A570" t="str">
        <x:v>Kelci Walkden</x:v>
      </x:c>
      <x:c r="B570" t="str">
        <x:v>Australia</x:v>
      </x:c>
      <x:c r="C570" t="str">
        <x:v>White Choc</x:v>
      </x:c>
      <x:c r="D570" s="14" t="n">
        <x:v>44797</x:v>
      </x:c>
      <x:c r="E570" s="16" t="n">
        <x:v>8715</x:v>
      </x:c>
      <x:c r="F570" s="18" t="n">
        <x:v>168</x:v>
      </x:c>
      <x:c r="G570" s="20" t="n">
        <x:f>IFERROR(E570/F570,0)</x:f>
        <x:v>51.875</x:v>
      </x:c>
      <x:c r="H570" t="str">
        <x:f>TEXT(D570,"mmm")</x:f>
        <x:v>Aug</x:v>
      </x:c>
      <x:c r="I570" s="22" t="n">
        <x:f>MONTH(D570)</x:f>
        <x:v>8</x:v>
      </x:c>
      <x:c r="J570" s="22" t="n">
        <x:f>YEAR(D570)</x:f>
        <x:v>2022</x:v>
      </x:c>
      <x:c r="K570" t="str">
        <x:f>IF(F570&gt;200,"Large Order","Standard Order")</x:f>
        <x:v>Standard Order</x:v>
      </x:c>
    </x:row>
    <x:row r="571">
      <x:c r="A571" t="str">
        <x:v>Curtice Advani</x:v>
      </x:c>
      <x:c r="B571" t="str">
        <x:v>India</x:v>
      </x:c>
      <x:c r="C571" t="str">
        <x:v>85% Dark Bars</x:v>
      </x:c>
      <x:c r="D571" s="14" t="n">
        <x:v>44579</x:v>
      </x:c>
      <x:c r="E571" s="16" t="n">
        <x:v>273</x:v>
      </x:c>
      <x:c r="F571" s="18" t="n">
        <x:v>402</x:v>
      </x:c>
      <x:c r="G571" s="20" t="n">
        <x:f>IFERROR(E571/F571,0)</x:f>
        <x:v>0.6791044776119403</x:v>
      </x:c>
      <x:c r="H571" t="str">
        <x:f>TEXT(D571,"mmm")</x:f>
        <x:v>Jan</x:v>
      </x:c>
      <x:c r="I571" s="22" t="n">
        <x:f>MONTH(D571)</x:f>
        <x:v>1</x:v>
      </x:c>
      <x:c r="J571" s="22" t="n">
        <x:f>YEAR(D571)</x:f>
        <x:v>2022</x:v>
      </x:c>
      <x:c r="K571" t="str">
        <x:f>IF(F571&gt;200,"Large Order","Standard Order")</x:f>
        <x:v>Large Order</x:v>
      </x:c>
    </x:row>
    <x:row r="572">
      <x:c r="A572" t="str">
        <x:v>Kaine Padly</x:v>
      </x:c>
      <x:c r="B572" t="str">
        <x:v>USA</x:v>
      </x:c>
      <x:c r="C572" t="str">
        <x:v>Eclairs</x:v>
      </x:c>
      <x:c r="D572" s="14" t="n">
        <x:v>44795</x:v>
      </x:c>
      <x:c r="E572" s="16" t="n">
        <x:v>7623</x:v>
      </x:c>
      <x:c r="F572" s="18" t="n">
        <x:v>10</x:v>
      </x:c>
      <x:c r="G572" s="20" t="n">
        <x:f>IFERROR(E572/F572,0)</x:f>
        <x:v>762.3</x:v>
      </x:c>
      <x:c r="H572" t="str">
        <x:f>TEXT(D572,"mmm")</x:f>
        <x:v>Aug</x:v>
      </x:c>
      <x:c r="I572" s="22" t="n">
        <x:f>MONTH(D572)</x:f>
        <x:v>8</x:v>
      </x:c>
      <x:c r="J572" s="22" t="n">
        <x:f>YEAR(D572)</x:f>
        <x:v>2022</x:v>
      </x:c>
      <x:c r="K572" t="str">
        <x:f>IF(F572&gt;200,"Large Order","Standard Order")</x:f>
        <x:v>Standard Order</x:v>
      </x:c>
    </x:row>
    <x:row r="573">
      <x:c r="A573" t="str">
        <x:v>Gunar Cockshoot</x:v>
      </x:c>
      <x:c r="B573" t="str">
        <x:v>UK</x:v>
      </x:c>
      <x:c r="C573" t="str">
        <x:v>99% Dark &amp; Pure</x:v>
      </x:c>
      <x:c r="D573" s="14" t="n">
        <x:v>44627</x:v>
      </x:c>
      <x:c r="E573" s="16" t="n">
        <x:v>7</x:v>
      </x:c>
      <x:c r="F573" s="18" t="n">
        <x:v>84</x:v>
      </x:c>
      <x:c r="G573" s="20" t="n">
        <x:f>IFERROR(E573/F573,0)</x:f>
        <x:v>0.08333333333333333</x:v>
      </x:c>
      <x:c r="H573" t="str">
        <x:f>TEXT(D573,"mmm")</x:f>
        <x:v>Mar</x:v>
      </x:c>
      <x:c r="I573" s="22" t="n">
        <x:f>MONTH(D573)</x:f>
        <x:v>3</x:v>
      </x:c>
      <x:c r="J573" s="22" t="n">
        <x:f>YEAR(D573)</x:f>
        <x:v>2022</x:v>
      </x:c>
      <x:c r="K573" t="str">
        <x:f>IF(F573&gt;200,"Large Order","Standard Order")</x:f>
        <x:v>Standard Order</x:v>
      </x:c>
    </x:row>
    <x:row r="574">
      <x:c r="A574" t="str">
        <x:v>Beverie Moffet</x:v>
      </x:c>
      <x:c r="B574" t="str">
        <x:v>UK</x:v>
      </x:c>
      <x:c r="C574" t="str">
        <x:v>Choco Coated Almonds</x:v>
      </x:c>
      <x:c r="D574" s="14" t="n">
        <x:v>44624</x:v>
      </x:c>
      <x:c r="E574" s="16" t="n">
        <x:v>3010</x:v>
      </x:c>
      <x:c r="F574" s="18" t="n">
        <x:v>69</x:v>
      </x:c>
      <x:c r="G574" s="20" t="n">
        <x:f>IFERROR(E574/F574,0)</x:f>
        <x:v>43.6231884057971</x:v>
      </x:c>
      <x:c r="H574" t="str">
        <x:f>TEXT(D574,"mmm")</x:f>
        <x:v>Mar</x:v>
      </x:c>
      <x:c r="I574" s="22" t="n">
        <x:f>MONTH(D574)</x:f>
        <x:v>3</x:v>
      </x:c>
      <x:c r="J574" s="22" t="n">
        <x:f>YEAR(D574)</x:f>
        <x:v>2022</x:v>
      </x:c>
      <x:c r="K574" t="str">
        <x:f>IF(F574&gt;200,"Large Order","Standard Order")</x:f>
        <x:v>Standard Order</x:v>
      </x:c>
    </x:row>
    <x:row r="575">
      <x:c r="A575" t="str">
        <x:v>Dotty Strutley</x:v>
      </x:c>
      <x:c r="B575" t="str">
        <x:v>Canada</x:v>
      </x:c>
      <x:c r="C575" t="str">
        <x:v>Manuka Honey Choco</x:v>
      </x:c>
      <x:c r="D575" s="14" t="n">
        <x:v>44673</x:v>
      </x:c>
      <x:c r="E575" s="16" t="n">
        <x:v>11550</x:v>
      </x:c>
      <x:c r="F575" s="18" t="n">
        <x:v>111</x:v>
      </x:c>
      <x:c r="G575" s="20" t="n">
        <x:f>IFERROR(E575/F575,0)</x:f>
        <x:v>104.05405405405405</x:v>
      </x:c>
      <x:c r="H575" t="str">
        <x:f>TEXT(D575,"mmm")</x:f>
        <x:v>Apr</x:v>
      </x:c>
      <x:c r="I575" s="22" t="n">
        <x:f>MONTH(D575)</x:f>
        <x:v>4</x:v>
      </x:c>
      <x:c r="J575" s="22" t="n">
        <x:f>YEAR(D575)</x:f>
        <x:v>2022</x:v>
      </x:c>
      <x:c r="K575" t="str">
        <x:f>IF(F575&gt;200,"Large Order","Standard Order")</x:f>
        <x:v>Standard Order</x:v>
      </x:c>
    </x:row>
    <x:row r="576">
      <x:c r="A576" t="str">
        <x:v>Kaine Padly</x:v>
      </x:c>
      <x:c r="B576" t="str">
        <x:v>Australia</x:v>
      </x:c>
      <x:c r="C576" t="str">
        <x:v>Milk Bars</x:v>
      </x:c>
      <x:c r="D576" s="14" t="n">
        <x:v>44721</x:v>
      </x:c>
      <x:c r="E576" s="16" t="n">
        <x:v>4046</x:v>
      </x:c>
      <x:c r="F576" s="18" t="n">
        <x:v>89</x:v>
      </x:c>
      <x:c r="G576" s="20" t="n">
        <x:f>IFERROR(E576/F576,0)</x:f>
        <x:v>45.46067415730337</x:v>
      </x:c>
      <x:c r="H576" t="str">
        <x:f>TEXT(D576,"mmm")</x:f>
        <x:v>Jun</x:v>
      </x:c>
      <x:c r="I576" s="22" t="n">
        <x:f>MONTH(D576)</x:f>
        <x:v>6</x:v>
      </x:c>
      <x:c r="J576" s="22" t="n">
        <x:f>YEAR(D576)</x:f>
        <x:v>2022</x:v>
      </x:c>
      <x:c r="K576" t="str">
        <x:f>IF(F576&gt;200,"Large Order","Standard Order")</x:f>
        <x:v>Standard Order</x:v>
      </x:c>
    </x:row>
    <x:row r="577">
      <x:c r="A577" t="str">
        <x:v>Jan Morforth</x:v>
      </x:c>
      <x:c r="B577" t="str">
        <x:v>Canada</x:v>
      </x:c>
      <x:c r="C577" t="str">
        <x:v>Fruit &amp; Nut Bars</x:v>
      </x:c>
      <x:c r="D577" s="14" t="n">
        <x:v>44767</x:v>
      </x:c>
      <x:c r="E577" s="16" t="n">
        <x:v>8904</x:v>
      </x:c>
      <x:c r="F577" s="18" t="n">
        <x:v>199</x:v>
      </x:c>
      <x:c r="G577" s="20" t="n">
        <x:f>IFERROR(E577/F577,0)</x:f>
        <x:v>44.743718592964825</x:v>
      </x:c>
      <x:c r="H577" t="str">
        <x:f>TEXT(D577,"mmm")</x:f>
        <x:v>Jul</x:v>
      </x:c>
      <x:c r="I577" s="22" t="n">
        <x:f>MONTH(D577)</x:f>
        <x:v>7</x:v>
      </x:c>
      <x:c r="J577" s="22" t="n">
        <x:f>YEAR(D577)</x:f>
        <x:v>2022</x:v>
      </x:c>
      <x:c r="K577" t="str">
        <x:f>IF(F577&gt;200,"Large Order","Standard Order")</x:f>
        <x:v>Standard Order</x:v>
      </x:c>
    </x:row>
    <x:row r="578">
      <x:c r="A578" t="str">
        <x:v>Jan Morforth</x:v>
      </x:c>
      <x:c r="B578" t="str">
        <x:v>India</x:v>
      </x:c>
      <x:c r="C578" t="str">
        <x:v>Smooth Silky Salty</x:v>
      </x:c>
      <x:c r="D578" s="14" t="n">
        <x:v>44776</x:v>
      </x:c>
      <x:c r="E578" s="16" t="n">
        <x:v>11298</x:v>
      </x:c>
      <x:c r="F578" s="18" t="n">
        <x:v>89</x:v>
      </x:c>
      <x:c r="G578" s="20" t="n">
        <x:f>IFERROR(E578/F578,0)</x:f>
        <x:v>126.9438202247191</x:v>
      </x:c>
      <x:c r="H578" t="str">
        <x:f>TEXT(D578,"mmm")</x:f>
        <x:v>Aug</x:v>
      </x:c>
      <x:c r="I578" s="22" t="n">
        <x:f>MONTH(D578)</x:f>
        <x:v>8</x:v>
      </x:c>
      <x:c r="J578" s="22" t="n">
        <x:f>YEAR(D578)</x:f>
        <x:v>2022</x:v>
      </x:c>
      <x:c r="K578" t="str">
        <x:f>IF(F578&gt;200,"Large Order","Standard Order")</x:f>
        <x:v>Standard Order</x:v>
      </x:c>
    </x:row>
    <x:row r="579">
      <x:c r="A579" t="str">
        <x:v>Rafaelita Blaksland</x:v>
      </x:c>
      <x:c r="B579" t="str">
        <x:v>Australia</x:v>
      </x:c>
      <x:c r="C579" t="str">
        <x:v>Manuka Honey Choco</x:v>
      </x:c>
      <x:c r="D579" s="14" t="n">
        <x:v>44776</x:v>
      </x:c>
      <x:c r="E579" s="16" t="n">
        <x:v>4396</x:v>
      </x:c>
      <x:c r="F579" s="18" t="n">
        <x:v>131</x:v>
      </x:c>
      <x:c r="G579" s="20" t="n">
        <x:f>IFERROR(E579/F579,0)</x:f>
        <x:v>33.55725190839695</x:v>
      </x:c>
      <x:c r="H579" t="str">
        <x:f>TEXT(D579,"mmm")</x:f>
        <x:v>Aug</x:v>
      </x:c>
      <x:c r="I579" s="22" t="n">
        <x:f>MONTH(D579)</x:f>
        <x:v>8</x:v>
      </x:c>
      <x:c r="J579" s="22" t="n">
        <x:f>YEAR(D579)</x:f>
        <x:v>2022</x:v>
      </x:c>
      <x:c r="K579" t="str">
        <x:f>IF(F579&gt;200,"Large Order","Standard Order")</x:f>
        <x:v>Standard Order</x:v>
      </x:c>
    </x:row>
    <x:row r="580">
      <x:c r="A580" t="str">
        <x:v>Jehu Rudeforth</x:v>
      </x:c>
      <x:c r="B580" t="str">
        <x:v>UK</x:v>
      </x:c>
      <x:c r="C580" t="str">
        <x:v>Milk Bars</x:v>
      </x:c>
      <x:c r="D580" s="14" t="n">
        <x:v>44684</x:v>
      </x:c>
      <x:c r="E580" s="16" t="n">
        <x:v>12068</x:v>
      </x:c>
      <x:c r="F580" s="18" t="n">
        <x:v>227</x:v>
      </x:c>
      <x:c r="G580" s="20" t="n">
        <x:f>IFERROR(E580/F580,0)</x:f>
        <x:v>53.16299559471366</x:v>
      </x:c>
      <x:c r="H580" t="str">
        <x:f>TEXT(D580,"mmm")</x:f>
        <x:v>May</x:v>
      </x:c>
      <x:c r="I580" s="22" t="n">
        <x:f>MONTH(D580)</x:f>
        <x:v>5</x:v>
      </x:c>
      <x:c r="J580" s="22" t="n">
        <x:f>YEAR(D580)</x:f>
        <x:v>2022</x:v>
      </x:c>
      <x:c r="K580" t="str">
        <x:f>IF(F580&gt;200,"Large Order","Standard Order")</x:f>
        <x:v>Large Order</x:v>
      </x:c>
    </x:row>
    <x:row r="581">
      <x:c r="A581" t="str">
        <x:v>Husein Augar</x:v>
      </x:c>
      <x:c r="B581" t="str">
        <x:v>Canada</x:v>
      </x:c>
      <x:c r="C581" t="str">
        <x:v>After Nines</x:v>
      </x:c>
      <x:c r="D581" s="14" t="n">
        <x:v>44580</x:v>
      </x:c>
      <x:c r="E581" s="16" t="n">
        <x:v>9772</x:v>
      </x:c>
      <x:c r="F581" s="18" t="n">
        <x:v>301</x:v>
      </x:c>
      <x:c r="G581" s="20" t="n">
        <x:f>IFERROR(E581/F581,0)</x:f>
        <x:v>32.46511627906977</x:v>
      </x:c>
      <x:c r="H581" t="str">
        <x:f>TEXT(D581,"mmm")</x:f>
        <x:v>Jan</x:v>
      </x:c>
      <x:c r="I581" s="22" t="n">
        <x:f>MONTH(D581)</x:f>
        <x:v>1</x:v>
      </x:c>
      <x:c r="J581" s="22" t="n">
        <x:f>YEAR(D581)</x:f>
        <x:v>2022</x:v>
      </x:c>
      <x:c r="K581" t="str">
        <x:f>IF(F581&gt;200,"Large Order","Standard Order")</x:f>
        <x:v>Large Order</x:v>
      </x:c>
    </x:row>
    <x:row r="582">
      <x:c r="A582" t="str">
        <x:v>Roddy Speechley</x:v>
      </x:c>
      <x:c r="B582" t="str">
        <x:v>USA</x:v>
      </x:c>
      <x:c r="C582" t="str">
        <x:v>50% Dark Bites</x:v>
      </x:c>
      <x:c r="D582" s="14" t="n">
        <x:v>44603</x:v>
      </x:c>
      <x:c r="E582" s="16" t="n">
        <x:v>10458</x:v>
      </x:c>
      <x:c r="F582" s="18" t="n">
        <x:v>316</x:v>
      </x:c>
      <x:c r="G582" s="20" t="n">
        <x:f>IFERROR(E582/F582,0)</x:f>
        <x:v>33.09493670886076</x:v>
      </x:c>
      <x:c r="H582" t="str">
        <x:f>TEXT(D582,"mmm")</x:f>
        <x:v>Feb</x:v>
      </x:c>
      <x:c r="I582" s="22" t="n">
        <x:f>MONTH(D582)</x:f>
        <x:v>2</x:v>
      </x:c>
      <x:c r="J582" s="22" t="n">
        <x:f>YEAR(D582)</x:f>
        <x:v>2022</x:v>
      </x:c>
      <x:c r="K582" t="str">
        <x:f>IF(F582&gt;200,"Large Order","Standard Order")</x:f>
        <x:v>Large Order</x:v>
      </x:c>
    </x:row>
    <x:row r="583">
      <x:c r="A583" t="str">
        <x:v>Van Tuxwell</x:v>
      </x:c>
      <x:c r="B583" t="str">
        <x:v>India</x:v>
      </x:c>
      <x:c r="C583" t="str">
        <x:v>Almond Choco</x:v>
      </x:c>
      <x:c r="D583" s="14" t="n">
        <x:v>44726</x:v>
      </x:c>
      <x:c r="E583" s="16" t="n">
        <x:v>6426</x:v>
      </x:c>
      <x:c r="F583" s="18" t="n">
        <x:v>390</x:v>
      </x:c>
      <x:c r="G583" s="20" t="n">
        <x:f>IFERROR(E583/F583,0)</x:f>
        <x:v>16.476923076923075</x:v>
      </x:c>
      <x:c r="H583" t="str">
        <x:f>TEXT(D583,"mmm")</x:f>
        <x:v>Jun</x:v>
      </x:c>
      <x:c r="I583" s="22" t="n">
        <x:f>MONTH(D583)</x:f>
        <x:v>6</x:v>
      </x:c>
      <x:c r="J583" s="22" t="n">
        <x:f>YEAR(D583)</x:f>
        <x:v>2022</x:v>
      </x:c>
      <x:c r="K583" t="str">
        <x:f>IF(F583&gt;200,"Large Order","Standard Order")</x:f>
        <x:v>Large Order</x:v>
      </x:c>
    </x:row>
    <x:row r="584">
      <x:c r="A584" t="str">
        <x:v>Kelci Walkden</x:v>
      </x:c>
      <x:c r="B584" t="str">
        <x:v>USA</x:v>
      </x:c>
      <x:c r="C584" t="str">
        <x:v>50% Dark Bites</x:v>
      </x:c>
      <x:c r="D584" s="14" t="n">
        <x:v>44643</x:v>
      </x:c>
      <x:c r="E584" s="16" t="n">
        <x:v>6188</x:v>
      </x:c>
      <x:c r="F584" s="18" t="n">
        <x:v>223</x:v>
      </x:c>
      <x:c r="G584" s="20" t="n">
        <x:f>IFERROR(E584/F584,0)</x:f>
        <x:v>27.748878923766817</x:v>
      </x:c>
      <x:c r="H584" t="str">
        <x:f>TEXT(D584,"mmm")</x:f>
        <x:v>Mar</x:v>
      </x:c>
      <x:c r="I584" s="22" t="n">
        <x:f>MONTH(D584)</x:f>
        <x:v>3</x:v>
      </x:c>
      <x:c r="J584" s="22" t="n">
        <x:f>YEAR(D584)</x:f>
        <x:v>2022</x:v>
      </x:c>
      <x:c r="K584" t="str">
        <x:f>IF(F584&gt;200,"Large Order","Standard Order")</x:f>
        <x:v>Large Order</x:v>
      </x:c>
    </x:row>
    <x:row r="585">
      <x:c r="A585" t="str">
        <x:v>Madelene Upcott</x:v>
      </x:c>
      <x:c r="B585" t="str">
        <x:v>Canada</x:v>
      </x:c>
      <x:c r="C585" t="str">
        <x:v>85% Dark Bars</x:v>
      </x:c>
      <x:c r="D585" s="14" t="n">
        <x:v>44609</x:v>
      </x:c>
      <x:c r="E585" s="16" t="n">
        <x:v>7504</x:v>
      </x:c>
      <x:c r="F585" s="18" t="n">
        <x:v>101</x:v>
      </x:c>
      <x:c r="G585" s="20" t="n">
        <x:f>IFERROR(E585/F585,0)</x:f>
        <x:v>74.29702970297029</x:v>
      </x:c>
      <x:c r="H585" t="str">
        <x:f>TEXT(D585,"mmm")</x:f>
        <x:v>Feb</x:v>
      </x:c>
      <x:c r="I585" s="22" t="n">
        <x:f>MONTH(D585)</x:f>
        <x:v>2</x:v>
      </x:c>
      <x:c r="J585" s="22" t="n">
        <x:f>YEAR(D585)</x:f>
        <x:v>2022</x:v>
      </x:c>
      <x:c r="K585" t="str">
        <x:f>IF(F585&gt;200,"Large Order","Standard Order")</x:f>
        <x:v>Standard Order</x:v>
      </x:c>
    </x:row>
    <x:row r="586">
      <x:c r="A586" t="str">
        <x:v>Dennison Crosswaite</x:v>
      </x:c>
      <x:c r="B586" t="str">
        <x:v>Canada</x:v>
      </x:c>
      <x:c r="C586" t="str">
        <x:v>Smooth Silky Salty</x:v>
      </x:c>
      <x:c r="D586" s="14" t="n">
        <x:v>44637</x:v>
      </x:c>
      <x:c r="E586" s="16" t="n">
        <x:v>1750</x:v>
      </x:c>
      <x:c r="F586" s="18" t="n">
        <x:v>479</x:v>
      </x:c>
      <x:c r="G586" s="20" t="n">
        <x:f>IFERROR(E586/F586,0)</x:f>
        <x:v>3.653444676409186</x:v>
      </x:c>
      <x:c r="H586" t="str">
        <x:f>TEXT(D586,"mmm")</x:f>
        <x:v>Mar</x:v>
      </x:c>
      <x:c r="I586" s="22" t="n">
        <x:f>MONTH(D586)</x:f>
        <x:v>3</x:v>
      </x:c>
      <x:c r="J586" s="22" t="n">
        <x:f>YEAR(D586)</x:f>
        <x:v>2022</x:v>
      </x:c>
      <x:c r="K586" t="str">
        <x:f>IF(F586&gt;200,"Large Order","Standard Order")</x:f>
        <x:v>Large Order</x:v>
      </x:c>
    </x:row>
    <x:row r="587">
      <x:c r="A587" t="str">
        <x:v>Mallorie Waber</x:v>
      </x:c>
      <x:c r="B587" t="str">
        <x:v>Australia</x:v>
      </x:c>
      <x:c r="C587" t="str">
        <x:v>Spicy Special Slims</x:v>
      </x:c>
      <x:c r="D587" s="14" t="n">
        <x:v>44741</x:v>
      </x:c>
      <x:c r="E587" s="16" t="n">
        <x:v>5439</x:v>
      </x:c>
      <x:c r="F587" s="18" t="n">
        <x:v>287</x:v>
      </x:c>
      <x:c r="G587" s="20" t="n">
        <x:f>IFERROR(E587/F587,0)</x:f>
        <x:v>18.951219512195124</x:v>
      </x:c>
      <x:c r="H587" t="str">
        <x:f>TEXT(D587,"mmm")</x:f>
        <x:v>Jun</x:v>
      </x:c>
      <x:c r="I587" s="22" t="n">
        <x:f>MONTH(D587)</x:f>
        <x:v>6</x:v>
      </x:c>
      <x:c r="J587" s="22" t="n">
        <x:f>YEAR(D587)</x:f>
        <x:v>2022</x:v>
      </x:c>
      <x:c r="K587" t="str">
        <x:f>IF(F587&gt;200,"Large Order","Standard Order")</x:f>
        <x:v>Large Order</x:v>
      </x:c>
    </x:row>
    <x:row r="588">
      <x:c r="A588" t="str">
        <x:v>Ches Bonnell</x:v>
      </x:c>
      <x:c r="B588" t="str">
        <x:v>Canada</x:v>
      </x:c>
      <x:c r="C588" t="str">
        <x:v>Choco Coated Almonds</x:v>
      </x:c>
      <x:c r="D588" s="14" t="n">
        <x:v>44797</x:v>
      </x:c>
      <x:c r="E588" s="16" t="n">
        <x:v>15547</x:v>
      </x:c>
      <x:c r="F588" s="18" t="n">
        <x:v>269</x:v>
      </x:c>
      <x:c r="G588" s="20" t="n">
        <x:f>IFERROR(E588/F588,0)</x:f>
        <x:v>57.795539033457246</x:v>
      </x:c>
      <x:c r="H588" t="str">
        <x:f>TEXT(D588,"mmm")</x:f>
        <x:v>Aug</x:v>
      </x:c>
      <x:c r="I588" s="22" t="n">
        <x:f>MONTH(D588)</x:f>
        <x:v>8</x:v>
      </x:c>
      <x:c r="J588" s="22" t="n">
        <x:f>YEAR(D588)</x:f>
        <x:v>2022</x:v>
      </x:c>
      <x:c r="K588" t="str">
        <x:f>IF(F588&gt;200,"Large Order","Standard Order")</x:f>
        <x:v>Large Order</x:v>
      </x:c>
    </x:row>
    <x:row r="589">
      <x:c r="A589" t="str">
        <x:v>Gigi Bohling</x:v>
      </x:c>
      <x:c r="B589" t="str">
        <x:v>Canada</x:v>
      </x:c>
      <x:c r="C589" t="str">
        <x:v>Spicy Special Slims</x:v>
      </x:c>
      <x:c r="D589" s="14" t="n">
        <x:v>44746</x:v>
      </x:c>
      <x:c r="E589" s="16" t="n">
        <x:v>11956</x:v>
      </x:c>
      <x:c r="F589" s="18" t="n">
        <x:v>277</x:v>
      </x:c>
      <x:c r="G589" s="20" t="n">
        <x:f>IFERROR(E589/F589,0)</x:f>
        <x:v>43.16245487364621</x:v>
      </x:c>
      <x:c r="H589" t="str">
        <x:f>TEXT(D589,"mmm")</x:f>
        <x:v>Jul</x:v>
      </x:c>
      <x:c r="I589" s="22" t="n">
        <x:f>MONTH(D589)</x:f>
        <x:v>7</x:v>
      </x:c>
      <x:c r="J589" s="22" t="n">
        <x:f>YEAR(D589)</x:f>
        <x:v>2022</x:v>
      </x:c>
      <x:c r="K589" t="str">
        <x:f>IF(F589&gt;200,"Large Order","Standard Order")</x:f>
        <x:v>Large Order</x:v>
      </x:c>
    </x:row>
    <x:row r="590">
      <x:c r="A590" t="str">
        <x:v>Roddy Speechley</x:v>
      </x:c>
      <x:c r="B590" t="str">
        <x:v>New Zealand</x:v>
      </x:c>
      <x:c r="C590" t="str">
        <x:v>Almond Choco</x:v>
      </x:c>
      <x:c r="D590" s="14" t="n">
        <x:v>44648</x:v>
      </x:c>
      <x:c r="E590" s="16" t="n">
        <x:v>2723</x:v>
      </x:c>
      <x:c r="F590" s="18" t="n">
        <x:v>67</x:v>
      </x:c>
      <x:c r="G590" s="20" t="n">
        <x:f>IFERROR(E590/F590,0)</x:f>
        <x:v>40.64179104477612</x:v>
      </x:c>
      <x:c r="H590" t="str">
        <x:f>TEXT(D590,"mmm")</x:f>
        <x:v>Mar</x:v>
      </x:c>
      <x:c r="I590" s="22" t="n">
        <x:f>MONTH(D590)</x:f>
        <x:v>3</x:v>
      </x:c>
      <x:c r="J590" s="22" t="n">
        <x:f>YEAR(D590)</x:f>
        <x:v>2022</x:v>
      </x:c>
      <x:c r="K590" t="str">
        <x:f>IF(F590&gt;200,"Large Order","Standard Order")</x:f>
        <x:v>Standard Order</x:v>
      </x:c>
    </x:row>
    <x:row r="591">
      <x:c r="A591" t="str">
        <x:v>Curtice Advani</x:v>
      </x:c>
      <x:c r="B591" t="str">
        <x:v>India</x:v>
      </x:c>
      <x:c r="C591" t="str">
        <x:v>Smooth Silky Salty</x:v>
      </x:c>
      <x:c r="D591" s="14" t="n">
        <x:v>44670</x:v>
      </x:c>
      <x:c r="E591" s="16" t="n">
        <x:v>19327</x:v>
      </x:c>
      <x:c r="F591" s="18" t="n">
        <x:v>135</x:v>
      </x:c>
      <x:c r="G591" s="20" t="n">
        <x:f>IFERROR(E591/F591,0)</x:f>
        <x:v>143.16296296296295</x:v>
      </x:c>
      <x:c r="H591" t="str">
        <x:f>TEXT(D591,"mmm")</x:f>
        <x:v>Apr</x:v>
      </x:c>
      <x:c r="I591" s="22" t="n">
        <x:f>MONTH(D591)</x:f>
        <x:v>4</x:v>
      </x:c>
      <x:c r="J591" s="22" t="n">
        <x:f>YEAR(D591)</x:f>
        <x:v>2022</x:v>
      </x:c>
      <x:c r="K591" t="str">
        <x:f>IF(F591&gt;200,"Large Order","Standard Order")</x:f>
        <x:v>Standard Order</x:v>
      </x:c>
    </x:row>
    <x:row r="592">
      <x:c r="A592" t="str">
        <x:v>Ches Bonnell</x:v>
      </x:c>
      <x:c r="B592" t="str">
        <x:v>New Zealand</x:v>
      </x:c>
      <x:c r="C592" t="str">
        <x:v>Mint Chip Choco</x:v>
      </x:c>
      <x:c r="D592" s="14" t="n">
        <x:v>44579</x:v>
      </x:c>
      <x:c r="E592" s="16" t="n">
        <x:v>9058</x:v>
      </x:c>
      <x:c r="F592" s="18" t="n">
        <x:v>229</x:v>
      </x:c>
      <x:c r="G592" s="20" t="n">
        <x:f>IFERROR(E592/F592,0)</x:f>
        <x:v>39.55458515283843</x:v>
      </x:c>
      <x:c r="H592" t="str">
        <x:f>TEXT(D592,"mmm")</x:f>
        <x:v>Jan</x:v>
      </x:c>
      <x:c r="I592" s="22" t="n">
        <x:f>MONTH(D592)</x:f>
        <x:v>1</x:v>
      </x:c>
      <x:c r="J592" s="22" t="n">
        <x:f>YEAR(D592)</x:f>
        <x:v>2022</x:v>
      </x:c>
      <x:c r="K592" t="str">
        <x:f>IF(F592&gt;200,"Large Order","Standard Order")</x:f>
        <x:v>Large Order</x:v>
      </x:c>
    </x:row>
    <x:row r="593">
      <x:c r="A593" t="str">
        <x:v>Van Tuxwell</x:v>
      </x:c>
      <x:c r="B593" t="str">
        <x:v>New Zealand</x:v>
      </x:c>
      <x:c r="C593" t="str">
        <x:v>Fruit &amp; Nut Bars</x:v>
      </x:c>
      <x:c r="D593" s="14" t="n">
        <x:v>44578</x:v>
      </x:c>
      <x:c r="E593" s="16" t="n">
        <x:v>2996</x:v>
      </x:c>
      <x:c r="F593" s="18" t="n">
        <x:v>88</x:v>
      </x:c>
      <x:c r="G593" s="20" t="n">
        <x:f>IFERROR(E593/F593,0)</x:f>
        <x:v>34.04545454545455</x:v>
      </x:c>
      <x:c r="H593" t="str">
        <x:f>TEXT(D593,"mmm")</x:f>
        <x:v>Jan</x:v>
      </x:c>
      <x:c r="I593" s="22" t="n">
        <x:f>MONTH(D593)</x:f>
        <x:v>1</x:v>
      </x:c>
      <x:c r="J593" s="22" t="n">
        <x:f>YEAR(D593)</x:f>
        <x:v>2022</x:v>
      </x:c>
      <x:c r="K593" t="str">
        <x:f>IF(F593&gt;200,"Large Order","Standard Order")</x:f>
        <x:v>Standard Order</x:v>
      </x:c>
    </x:row>
    <x:row r="594">
      <x:c r="A594" t="str">
        <x:v>Andria Kimpton</x:v>
      </x:c>
      <x:c r="B594" t="str">
        <x:v>New Zealand</x:v>
      </x:c>
      <x:c r="C594" t="str">
        <x:v>Mint Chip Choco</x:v>
      </x:c>
      <x:c r="D594" s="14" t="n">
        <x:v>44607</x:v>
      </x:c>
      <x:c r="E594" s="16" t="n">
        <x:v>8848</x:v>
      </x:c>
      <x:c r="F594" s="18" t="n">
        <x:v>211</x:v>
      </x:c>
      <x:c r="G594" s="20" t="n">
        <x:f>IFERROR(E594/F594,0)</x:f>
        <x:v>41.93364928909953</x:v>
      </x:c>
      <x:c r="H594" t="str">
        <x:f>TEXT(D594,"mmm")</x:f>
        <x:v>Feb</x:v>
      </x:c>
      <x:c r="I594" s="22" t="n">
        <x:f>MONTH(D594)</x:f>
        <x:v>2</x:v>
      </x:c>
      <x:c r="J594" s="22" t="n">
        <x:f>YEAR(D594)</x:f>
        <x:v>2022</x:v>
      </x:c>
      <x:c r="K594" t="str">
        <x:f>IF(F594&gt;200,"Large Order","Standard Order")</x:f>
        <x:v>Large Order</x:v>
      </x:c>
    </x:row>
    <x:row r="595">
      <x:c r="A595" t="str">
        <x:v>Andria Kimpton</x:v>
      </x:c>
      <x:c r="B595" t="str">
        <x:v>UK</x:v>
      </x:c>
      <x:c r="C595" t="str">
        <x:v>Milk Bars</x:v>
      </x:c>
      <x:c r="D595" s="14" t="n">
        <x:v>44603</x:v>
      </x:c>
      <x:c r="E595" s="16" t="n">
        <x:v>14336</x:v>
      </x:c>
      <x:c r="F595" s="18" t="n">
        <x:v>293</x:v>
      </x:c>
      <x:c r="G595" s="20" t="n">
        <x:f>IFERROR(E595/F595,0)</x:f>
        <x:v>48.9283276450512</x:v>
      </x:c>
      <x:c r="H595" t="str">
        <x:f>TEXT(D595,"mmm")</x:f>
        <x:v>Feb</x:v>
      </x:c>
      <x:c r="I595" s="22" t="n">
        <x:f>MONTH(D595)</x:f>
        <x:v>2</x:v>
      </x:c>
      <x:c r="J595" s="22" t="n">
        <x:f>YEAR(D595)</x:f>
        <x:v>2022</x:v>
      </x:c>
      <x:c r="K595" t="str">
        <x:f>IF(F595&gt;200,"Large Order","Standard Order")</x:f>
        <x:v>Large Order</x:v>
      </x:c>
    </x:row>
    <x:row r="596">
      <x:c r="A596" t="str">
        <x:v>Camilla Castle</x:v>
      </x:c>
      <x:c r="B596" t="str">
        <x:v>USA</x:v>
      </x:c>
      <x:c r="C596" t="str">
        <x:v>Manuka Honey Choco</x:v>
      </x:c>
      <x:c r="D596" s="14" t="n">
        <x:v>44641</x:v>
      </x:c>
      <x:c r="E596" s="16" t="n">
        <x:v>16401</x:v>
      </x:c>
      <x:c r="F596" s="18" t="n">
        <x:v>179</x:v>
      </x:c>
      <x:c r="G596" s="20" t="n">
        <x:f>IFERROR(E596/F596,0)</x:f>
        <x:v>91.62569832402235</x:v>
      </x:c>
      <x:c r="H596" t="str">
        <x:f>TEXT(D596,"mmm")</x:f>
        <x:v>Mar</x:v>
      </x:c>
      <x:c r="I596" s="22" t="n">
        <x:f>MONTH(D596)</x:f>
        <x:v>3</x:v>
      </x:c>
      <x:c r="J596" s="22" t="n">
        <x:f>YEAR(D596)</x:f>
        <x:v>2022</x:v>
      </x:c>
      <x:c r="K596" t="str">
        <x:f>IF(F596&gt;200,"Large Order","Standard Order")</x:f>
        <x:v>Standard Order</x:v>
      </x:c>
    </x:row>
    <x:row r="597">
      <x:c r="A597" t="str">
        <x:v>Gunar Cockshoot</x:v>
      </x:c>
      <x:c r="B597" t="str">
        <x:v>New Zealand</x:v>
      </x:c>
      <x:c r="C597" t="str">
        <x:v>Almond Choco</x:v>
      </x:c>
      <x:c r="D597" s="14" t="n">
        <x:v>44566</x:v>
      </x:c>
      <x:c r="E597" s="16" t="n">
        <x:v>5173</x:v>
      </x:c>
      <x:c r="F597" s="18" t="n">
        <x:v>129</x:v>
      </x:c>
      <x:c r="G597" s="20" t="n">
        <x:f>IFERROR(E597/F597,0)</x:f>
        <x:v>40.10077519379845</x:v>
      </x:c>
      <x:c r="H597" t="str">
        <x:f>TEXT(D597,"mmm")</x:f>
        <x:v>Jan</x:v>
      </x:c>
      <x:c r="I597" s="22" t="n">
        <x:f>MONTH(D597)</x:f>
        <x:v>1</x:v>
      </x:c>
      <x:c r="J597" s="22" t="n">
        <x:f>YEAR(D597)</x:f>
        <x:v>2022</x:v>
      </x:c>
      <x:c r="K597" t="str">
        <x:f>IF(F597&gt;200,"Large Order","Standard Order")</x:f>
        <x:v>Standard Order</x:v>
      </x:c>
    </x:row>
    <x:row r="598">
      <x:c r="A598" t="str">
        <x:v>Brien Boise</x:v>
      </x:c>
      <x:c r="B598" t="str">
        <x:v>India</x:v>
      </x:c>
      <x:c r="C598" t="str">
        <x:v>Raspberry Choco</x:v>
      </x:c>
      <x:c r="D598" s="14" t="n">
        <x:v>44711</x:v>
      </x:c>
      <x:c r="E598" s="16" t="n">
        <x:v>6328</x:v>
      </x:c>
      <x:c r="F598" s="18" t="n">
        <x:v>164</x:v>
      </x:c>
      <x:c r="G598" s="20" t="n">
        <x:f>IFERROR(E598/F598,0)</x:f>
        <x:v>38.58536585365854</x:v>
      </x:c>
      <x:c r="H598" t="str">
        <x:f>TEXT(D598,"mmm")</x:f>
        <x:v>May</x:v>
      </x:c>
      <x:c r="I598" s="22" t="n">
        <x:f>MONTH(D598)</x:f>
        <x:v>5</x:v>
      </x:c>
      <x:c r="J598" s="22" t="n">
        <x:f>YEAR(D598)</x:f>
        <x:v>2022</x:v>
      </x:c>
      <x:c r="K598" t="str">
        <x:f>IF(F598&gt;200,"Large Order","Standard Order")</x:f>
        <x:v>Standard Order</x:v>
      </x:c>
    </x:row>
    <x:row r="599">
      <x:c r="A599" t="str">
        <x:v>Jehu Rudeforth</x:v>
      </x:c>
      <x:c r="B599" t="str">
        <x:v>USA</x:v>
      </x:c>
      <x:c r="C599" t="str">
        <x:v>99% Dark &amp; Pure</x:v>
      </x:c>
      <x:c r="D599" s="14" t="n">
        <x:v>44565</x:v>
      </x:c>
      <x:c r="E599" s="16" t="n">
        <x:v>2534</x:v>
      </x:c>
      <x:c r="F599" s="18" t="n">
        <x:v>219</x:v>
      </x:c>
      <x:c r="G599" s="20" t="n">
        <x:f>IFERROR(E599/F599,0)</x:f>
        <x:v>11.570776255707763</x:v>
      </x:c>
      <x:c r="H599" t="str">
        <x:f>TEXT(D599,"mmm")</x:f>
        <x:v>Jan</x:v>
      </x:c>
      <x:c r="I599" s="22" t="n">
        <x:f>MONTH(D599)</x:f>
        <x:v>1</x:v>
      </x:c>
      <x:c r="J599" s="22" t="n">
        <x:f>YEAR(D599)</x:f>
        <x:v>2022</x:v>
      </x:c>
      <x:c r="K599" t="str">
        <x:f>IF(F599&gt;200,"Large Order","Standard Order")</x:f>
        <x:v>Large Order</x:v>
      </x:c>
    </x:row>
    <x:row r="600">
      <x:c r="A600" t="str">
        <x:v>Beverie Moffet</x:v>
      </x:c>
      <x:c r="B600" t="str">
        <x:v>Australia</x:v>
      </x:c>
      <x:c r="C600" t="str">
        <x:v>Fruit &amp; Nut Bars</x:v>
      </x:c>
      <x:c r="D600" s="14" t="n">
        <x:v>44673</x:v>
      </x:c>
      <x:c r="E600" s="16" t="n">
        <x:v>1435</x:v>
      </x:c>
      <x:c r="F600" s="18" t="n">
        <x:v>258</x:v>
      </x:c>
      <x:c r="G600" s="20" t="n">
        <x:f>IFERROR(E600/F600,0)</x:f>
        <x:v>5.562015503875969</x:v>
      </x:c>
      <x:c r="H600" t="str">
        <x:f>TEXT(D600,"mmm")</x:f>
        <x:v>Apr</x:v>
      </x:c>
      <x:c r="I600" s="22" t="n">
        <x:f>MONTH(D600)</x:f>
        <x:v>4</x:v>
      </x:c>
      <x:c r="J600" s="22" t="n">
        <x:f>YEAR(D600)</x:f>
        <x:v>2022</x:v>
      </x:c>
      <x:c r="K600" t="str">
        <x:f>IF(F600&gt;200,"Large Order","Standard Order")</x:f>
        <x:v>Large Order</x:v>
      </x:c>
    </x:row>
    <x:row r="601">
      <x:c r="A601" t="str">
        <x:v>Gigi Bohling</x:v>
      </x:c>
      <x:c r="B601" t="str">
        <x:v>Canada</x:v>
      </x:c>
      <x:c r="C601" t="str">
        <x:v>Milk Bars</x:v>
      </x:c>
      <x:c r="D601" s="14" t="n">
        <x:v>44602</x:v>
      </x:c>
      <x:c r="E601" s="16" t="n">
        <x:v>3052</x:v>
      </x:c>
      <x:c r="F601" s="18" t="n">
        <x:v>116</x:v>
      </x:c>
      <x:c r="G601" s="20" t="n">
        <x:f>IFERROR(E601/F601,0)</x:f>
        <x:v>26.310344827586206</x:v>
      </x:c>
      <x:c r="H601" t="str">
        <x:f>TEXT(D601,"mmm")</x:f>
        <x:v>Feb</x:v>
      </x:c>
      <x:c r="I601" s="22" t="n">
        <x:f>MONTH(D601)</x:f>
        <x:v>2</x:v>
      </x:c>
      <x:c r="J601" s="22" t="n">
        <x:f>YEAR(D601)</x:f>
        <x:v>2022</x:v>
      </x:c>
      <x:c r="K601" t="str">
        <x:f>IF(F601&gt;200,"Large Order","Standard Order")</x:f>
        <x:v>Standard Order</x:v>
      </x:c>
    </x:row>
    <x:row r="602">
      <x:c r="A602" t="str">
        <x:v>Dotty Strutley</x:v>
      </x:c>
      <x:c r="B602" t="str">
        <x:v>India</x:v>
      </x:c>
      <x:c r="C602" t="str">
        <x:v>Spicy Special Slims</x:v>
      </x:c>
      <x:c r="D602" s="14" t="n">
        <x:v>44785</x:v>
      </x:c>
      <x:c r="E602" s="16" t="n">
        <x:v>910</x:v>
      </x:c>
      <x:c r="F602" s="18" t="n">
        <x:v>204</x:v>
      </x:c>
      <x:c r="G602" s="20" t="n">
        <x:f>IFERROR(E602/F602,0)</x:f>
        <x:v>4.46078431372549</x:v>
      </x:c>
      <x:c r="H602" t="str">
        <x:f>TEXT(D602,"mmm")</x:f>
        <x:v>Aug</x:v>
      </x:c>
      <x:c r="I602" s="22" t="n">
        <x:f>MONTH(D602)</x:f>
        <x:v>8</x:v>
      </x:c>
      <x:c r="J602" s="22" t="n">
        <x:f>YEAR(D602)</x:f>
        <x:v>2022</x:v>
      </x:c>
      <x:c r="K602" t="str">
        <x:f>IF(F602&gt;200,"Large Order","Standard Order")</x:f>
        <x:v>Large Order</x:v>
      </x:c>
    </x:row>
    <x:row r="603">
      <x:c r="A603" t="str">
        <x:v>Gunar Cockshoot</x:v>
      </x:c>
      <x:c r="B603" t="str">
        <x:v>USA</x:v>
      </x:c>
      <x:c r="C603" t="str">
        <x:v>Organic Choco Syrup</x:v>
      </x:c>
      <x:c r="D603" s="14" t="n">
        <x:v>44783</x:v>
      </x:c>
      <x:c r="E603" s="16" t="n">
        <x:v>2331</x:v>
      </x:c>
      <x:c r="F603" s="18" t="n">
        <x:v>321</x:v>
      </x:c>
      <x:c r="G603" s="20" t="n">
        <x:f>IFERROR(E603/F603,0)</x:f>
        <x:v>7.261682242990654</x:v>
      </x:c>
      <x:c r="H603" t="str">
        <x:f>TEXT(D603,"mmm")</x:f>
        <x:v>Aug</x:v>
      </x:c>
      <x:c r="I603" s="22" t="n">
        <x:f>MONTH(D603)</x:f>
        <x:v>8</x:v>
      </x:c>
      <x:c r="J603" s="22" t="n">
        <x:f>YEAR(D603)</x:f>
        <x:v>2022</x:v>
      </x:c>
      <x:c r="K603" t="str">
        <x:f>IF(F603&gt;200,"Large Order","Standard Order")</x:f>
        <x:v>Large Order</x:v>
      </x:c>
    </x:row>
    <x:row r="604">
      <x:c r="A604" t="str">
        <x:v>Kelci Walkden</x:v>
      </x:c>
      <x:c r="B604" t="str">
        <x:v>Australia</x:v>
      </x:c>
      <x:c r="C604" t="str">
        <x:v>Raspberry Choco</x:v>
      </x:c>
      <x:c r="D604" s="14" t="n">
        <x:v>44719</x:v>
      </x:c>
      <x:c r="E604" s="16" t="n">
        <x:v>679</x:v>
      </x:c>
      <x:c r="F604" s="18" t="n">
        <x:v>56</x:v>
      </x:c>
      <x:c r="G604" s="20" t="n">
        <x:f>IFERROR(E604/F604,0)</x:f>
        <x:v>12.125</x:v>
      </x:c>
      <x:c r="H604" t="str">
        <x:f>TEXT(D604,"mmm")</x:f>
        <x:v>Jun</x:v>
      </x:c>
      <x:c r="I604" s="22" t="n">
        <x:f>MONTH(D604)</x:f>
        <x:v>6</x:v>
      </x:c>
      <x:c r="J604" s="22" t="n">
        <x:f>YEAR(D604)</x:f>
        <x:v>2022</x:v>
      </x:c>
      <x:c r="K604" t="str">
        <x:f>IF(F604&gt;200,"Large Order","Standard Order")</x:f>
        <x:v>Standard Order</x:v>
      </x:c>
    </x:row>
    <x:row r="605">
      <x:c r="A605" t="str">
        <x:v>Jehu Rudeforth</x:v>
      </x:c>
      <x:c r="B605" t="str">
        <x:v>India</x:v>
      </x:c>
      <x:c r="C605" t="str">
        <x:v>Baker's Choco Chips</x:v>
      </x:c>
      <x:c r="D605" s="14" t="n">
        <x:v>44718</x:v>
      </x:c>
      <x:c r="E605" s="16" t="n">
        <x:v>2086</x:v>
      </x:c>
      <x:c r="F605" s="18" t="n">
        <x:v>74</x:v>
      </x:c>
      <x:c r="G605" s="20" t="n">
        <x:f>IFERROR(E605/F605,0)</x:f>
        <x:v>28.18918918918919</x:v>
      </x:c>
      <x:c r="H605" t="str">
        <x:f>TEXT(D605,"mmm")</x:f>
        <x:v>Jun</x:v>
      </x:c>
      <x:c r="I605" s="22" t="n">
        <x:f>MONTH(D605)</x:f>
        <x:v>6</x:v>
      </x:c>
      <x:c r="J605" s="22" t="n">
        <x:f>YEAR(D605)</x:f>
        <x:v>2022</x:v>
      </x:c>
      <x:c r="K605" t="str">
        <x:f>IF(F605&gt;200,"Large Order","Standard Order")</x:f>
        <x:v>Standard Order</x:v>
      </x:c>
    </x:row>
    <x:row r="606">
      <x:c r="A606" t="str">
        <x:v>Karlen McCaffrey</x:v>
      </x:c>
      <x:c r="B606" t="str">
        <x:v>New Zealand</x:v>
      </x:c>
      <x:c r="C606" t="str">
        <x:v>Baker's Choco Chips</x:v>
      </x:c>
      <x:c r="D606" s="14" t="n">
        <x:v>44656</x:v>
      </x:c>
      <x:c r="E606" s="16" t="n">
        <x:v>5012</x:v>
      </x:c>
      <x:c r="F606" s="18" t="n">
        <x:v>189</x:v>
      </x:c>
      <x:c r="G606" s="20" t="n">
        <x:f>IFERROR(E606/F606,0)</x:f>
        <x:v>26.51851851851852</x:v>
      </x:c>
      <x:c r="H606" t="str">
        <x:f>TEXT(D606,"mmm")</x:f>
        <x:v>Apr</x:v>
      </x:c>
      <x:c r="I606" s="22" t="n">
        <x:f>MONTH(D606)</x:f>
        <x:v>4</x:v>
      </x:c>
      <x:c r="J606" s="22" t="n">
        <x:f>YEAR(D606)</x:f>
        <x:v>2022</x:v>
      </x:c>
      <x:c r="K606" t="str">
        <x:f>IF(F606&gt;200,"Large Order","Standard Order")</x:f>
        <x:v>Standard Order</x:v>
      </x:c>
    </x:row>
    <x:row r="607">
      <x:c r="A607" t="str">
        <x:v>Wilone O'Kielt</x:v>
      </x:c>
      <x:c r="B607" t="str">
        <x:v>USA</x:v>
      </x:c>
      <x:c r="C607" t="str">
        <x:v>50% Dark Bites</x:v>
      </x:c>
      <x:c r="D607" s="14" t="n">
        <x:v>44669</x:v>
      </x:c>
      <x:c r="E607" s="16" t="n">
        <x:v>4501</x:v>
      </x:c>
      <x:c r="F607" s="18" t="n">
        <x:v>131</x:v>
      </x:c>
      <x:c r="G607" s="20" t="n">
        <x:f>IFERROR(E607/F607,0)</x:f>
        <x:v>34.3587786259542</x:v>
      </x:c>
      <x:c r="H607" t="str">
        <x:f>TEXT(D607,"mmm")</x:f>
        <x:v>Apr</x:v>
      </x:c>
      <x:c r="I607" s="22" t="n">
        <x:f>MONTH(D607)</x:f>
        <x:v>4</x:v>
      </x:c>
      <x:c r="J607" s="22" t="n">
        <x:f>YEAR(D607)</x:f>
        <x:v>2022</x:v>
      </x:c>
      <x:c r="K607" t="str">
        <x:f>IF(F607&gt;200,"Large Order","Standard Order")</x:f>
        <x:v>Standard Order</x:v>
      </x:c>
    </x:row>
    <x:row r="608">
      <x:c r="A608" t="str">
        <x:v>Andria Kimpton</x:v>
      </x:c>
      <x:c r="B608" t="str">
        <x:v>India</x:v>
      </x:c>
      <x:c r="C608" t="str">
        <x:v>50% Dark Bites</x:v>
      </x:c>
      <x:c r="D608" s="14" t="n">
        <x:v>44592</x:v>
      </x:c>
      <x:c r="E608" s="16" t="n">
        <x:v>13482</x:v>
      </x:c>
      <x:c r="F608" s="18" t="n">
        <x:v>15</x:v>
      </x:c>
      <x:c r="G608" s="20" t="n">
        <x:f>IFERROR(E608/F608,0)</x:f>
        <x:v>898.8</x:v>
      </x:c>
      <x:c r="H608" t="str">
        <x:f>TEXT(D608,"mmm")</x:f>
        <x:v>Jan</x:v>
      </x:c>
      <x:c r="I608" s="22" t="n">
        <x:f>MONTH(D608)</x:f>
        <x:v>1</x:v>
      </x:c>
      <x:c r="J608" s="22" t="n">
        <x:f>YEAR(D608)</x:f>
        <x:v>2022</x:v>
      </x:c>
      <x:c r="K608" t="str">
        <x:f>IF(F608&gt;200,"Large Order","Standard Order")</x:f>
        <x:v>Standard Order</x:v>
      </x:c>
    </x:row>
    <x:row r="609">
      <x:c r="A609" t="str">
        <x:v>Madelene Upcott</x:v>
      </x:c>
      <x:c r="B609" t="str">
        <x:v>USA</x:v>
      </x:c>
      <x:c r="C609" t="str">
        <x:v>Baker's Choco Chips</x:v>
      </x:c>
      <x:c r="D609" s="14" t="n">
        <x:v>44795</x:v>
      </x:c>
      <x:c r="E609" s="16" t="n">
        <x:v>5621</x:v>
      </x:c>
      <x:c r="F609" s="18" t="n">
        <x:v>140</x:v>
      </x:c>
      <x:c r="G609" s="20" t="n">
        <x:f>IFERROR(E609/F609,0)</x:f>
        <x:v>40.15</x:v>
      </x:c>
      <x:c r="H609" t="str">
        <x:f>TEXT(D609,"mmm")</x:f>
        <x:v>Aug</x:v>
      </x:c>
      <x:c r="I609" s="22" t="n">
        <x:f>MONTH(D609)</x:f>
        <x:v>8</x:v>
      </x:c>
      <x:c r="J609" s="22" t="n">
        <x:f>YEAR(D609)</x:f>
        <x:v>2022</x:v>
      </x:c>
      <x:c r="K609" t="str">
        <x:f>IF(F609&gt;200,"Large Order","Standard Order")</x:f>
        <x:v>Standard Order</x:v>
      </x:c>
    </x:row>
    <x:row r="610">
      <x:c r="A610" t="str">
        <x:v>Jehu Rudeforth</x:v>
      </x:c>
      <x:c r="B610" t="str">
        <x:v>Australia</x:v>
      </x:c>
      <x:c r="C610" t="str">
        <x:v>99% Dark &amp; Pure</x:v>
      </x:c>
      <x:c r="D610" s="14" t="n">
        <x:v>44617</x:v>
      </x:c>
      <x:c r="E610" s="16" t="n">
        <x:v>10486</x:v>
      </x:c>
      <x:c r="F610" s="18" t="n">
        <x:v>198</x:v>
      </x:c>
      <x:c r="G610" s="20" t="n">
        <x:f>IFERROR(E610/F610,0)</x:f>
        <x:v>52.95959595959596</x:v>
      </x:c>
      <x:c r="H610" t="str">
        <x:f>TEXT(D610,"mmm")</x:f>
        <x:v>Feb</x:v>
      </x:c>
      <x:c r="I610" s="22" t="n">
        <x:f>MONTH(D610)</x:f>
        <x:v>2</x:v>
      </x:c>
      <x:c r="J610" s="22" t="n">
        <x:f>YEAR(D610)</x:f>
        <x:v>2022</x:v>
      </x:c>
      <x:c r="K610" t="str">
        <x:f>IF(F610&gt;200,"Large Order","Standard Order")</x:f>
        <x:v>Standard Order</x:v>
      </x:c>
    </x:row>
    <x:row r="611">
      <x:c r="A611" t="str">
        <x:v>Jan Morforth</x:v>
      </x:c>
      <x:c r="B611" t="str">
        <x:v>Australia</x:v>
      </x:c>
      <x:c r="C611" t="str">
        <x:v>Mint Chip Choco</x:v>
      </x:c>
      <x:c r="D611" s="14" t="n">
        <x:v>44614</x:v>
      </x:c>
      <x:c r="E611" s="16" t="n">
        <x:v>17626</x:v>
      </x:c>
      <x:c r="F611" s="18" t="n">
        <x:v>103</x:v>
      </x:c>
      <x:c r="G611" s="20" t="n">
        <x:f>IFERROR(E611/F611,0)</x:f>
        <x:v>171.126213592233</x:v>
      </x:c>
      <x:c r="H611" t="str">
        <x:f>TEXT(D611,"mmm")</x:f>
        <x:v>Feb</x:v>
      </x:c>
      <x:c r="I611" s="22" t="n">
        <x:f>MONTH(D611)</x:f>
        <x:v>2</x:v>
      </x:c>
      <x:c r="J611" s="22" t="n">
        <x:f>YEAR(D611)</x:f>
        <x:v>2022</x:v>
      </x:c>
      <x:c r="K611" t="str">
        <x:f>IF(F611&gt;200,"Large Order","Standard Order")</x:f>
        <x:v>Standard Order</x:v>
      </x:c>
    </x:row>
    <x:row r="612">
      <x:c r="A612" t="str">
        <x:v>Oby Sorrel</x:v>
      </x:c>
      <x:c r="B612" t="str">
        <x:v>New Zealand</x:v>
      </x:c>
      <x:c r="C612" t="str">
        <x:v>Milk Bars</x:v>
      </x:c>
      <x:c r="D612" s="14" t="n">
        <x:v>44573</x:v>
      </x:c>
      <x:c r="E612" s="16" t="n">
        <x:v>4494</x:v>
      </x:c>
      <x:c r="F612" s="18" t="n">
        <x:v>187</x:v>
      </x:c>
      <x:c r="G612" s="20" t="n">
        <x:f>IFERROR(E612/F612,0)</x:f>
        <x:v>24.032085561497325</x:v>
      </x:c>
      <x:c r="H612" t="str">
        <x:f>TEXT(D612,"mmm")</x:f>
        <x:v>Jan</x:v>
      </x:c>
      <x:c r="I612" s="22" t="n">
        <x:f>MONTH(D612)</x:f>
        <x:v>1</x:v>
      </x:c>
      <x:c r="J612" s="22" t="n">
        <x:f>YEAR(D612)</x:f>
        <x:v>2022</x:v>
      </x:c>
      <x:c r="K612" t="str">
        <x:f>IF(F612&gt;200,"Large Order","Standard Order")</x:f>
        <x:v>Standard Order</x:v>
      </x:c>
    </x:row>
    <x:row r="613">
      <x:c r="A613" t="str">
        <x:v>Brien Boise</x:v>
      </x:c>
      <x:c r="B613" t="str">
        <x:v>UK</x:v>
      </x:c>
      <x:c r="C613" t="str">
        <x:v>Almond Choco</x:v>
      </x:c>
      <x:c r="D613" s="14" t="n">
        <x:v>44706</x:v>
      </x:c>
      <x:c r="E613" s="16" t="n">
        <x:v>105</x:v>
      </x:c>
      <x:c r="F613" s="18" t="n">
        <x:v>125</x:v>
      </x:c>
      <x:c r="G613" s="20" t="n">
        <x:f>IFERROR(E613/F613,0)</x:f>
        <x:v>0.84</x:v>
      </x:c>
      <x:c r="H613" t="str">
        <x:f>TEXT(D613,"mmm")</x:f>
        <x:v>May</x:v>
      </x:c>
      <x:c r="I613" s="22" t="n">
        <x:f>MONTH(D613)</x:f>
        <x:v>5</x:v>
      </x:c>
      <x:c r="J613" s="22" t="n">
        <x:f>YEAR(D613)</x:f>
        <x:v>2022</x:v>
      </x:c>
      <x:c r="K613" t="str">
        <x:f>IF(F613&gt;200,"Large Order","Standard Order")</x:f>
        <x:v>Standard Order</x:v>
      </x:c>
    </x:row>
    <x:row r="614">
      <x:c r="A614" t="str">
        <x:v>Kelci Walkden</x:v>
      </x:c>
      <x:c r="B614" t="str">
        <x:v>India</x:v>
      </x:c>
      <x:c r="C614" t="str">
        <x:v>Smooth Silky Salty</x:v>
      </x:c>
      <x:c r="D614" s="14" t="n">
        <x:v>44593</x:v>
      </x:c>
      <x:c r="E614" s="16" t="n">
        <x:v>2464</x:v>
      </x:c>
      <x:c r="F614" s="18" t="n">
        <x:v>8</x:v>
      </x:c>
      <x:c r="G614" s="20" t="n">
        <x:f>IFERROR(E614/F614,0)</x:f>
        <x:v>308</x:v>
      </x:c>
      <x:c r="H614" t="str">
        <x:f>TEXT(D614,"mmm")</x:f>
        <x:v>Feb</x:v>
      </x:c>
      <x:c r="I614" s="22" t="n">
        <x:f>MONTH(D614)</x:f>
        <x:v>2</x:v>
      </x:c>
      <x:c r="J614" s="22" t="n">
        <x:f>YEAR(D614)</x:f>
        <x:v>2022</x:v>
      </x:c>
      <x:c r="K614" t="str">
        <x:f>IF(F614&gt;200,"Large Order","Standard Order")</x:f>
        <x:v>Standard Order</x:v>
      </x:c>
    </x:row>
    <x:row r="615">
      <x:c r="A615" t="str">
        <x:v>Rafaelita Blaksland</x:v>
      </x:c>
      <x:c r="B615" t="str">
        <x:v>UK</x:v>
      </x:c>
      <x:c r="C615" t="str">
        <x:v>Eclairs</x:v>
      </x:c>
      <x:c r="D615" s="14" t="n">
        <x:v>44678</x:v>
      </x:c>
      <x:c r="E615" s="16" t="n">
        <x:v>1379</x:v>
      </x:c>
      <x:c r="F615" s="18" t="n">
        <x:v>70</x:v>
      </x:c>
      <x:c r="G615" s="20" t="n">
        <x:f>IFERROR(E615/F615,0)</x:f>
        <x:v>19.7</x:v>
      </x:c>
      <x:c r="H615" t="str">
        <x:f>TEXT(D615,"mmm")</x:f>
        <x:v>Apr</x:v>
      </x:c>
      <x:c r="I615" s="22" t="n">
        <x:f>MONTH(D615)</x:f>
        <x:v>4</x:v>
      </x:c>
      <x:c r="J615" s="22" t="n">
        <x:f>YEAR(D615)</x:f>
        <x:v>2022</x:v>
      </x:c>
      <x:c r="K615" t="str">
        <x:f>IF(F615&gt;200,"Large Order","Standard Order")</x:f>
        <x:v>Standard Order</x:v>
      </x:c>
    </x:row>
    <x:row r="616">
      <x:c r="A616" t="str">
        <x:v>Gigi Bohling</x:v>
      </x:c>
      <x:c r="B616" t="str">
        <x:v>USA</x:v>
      </x:c>
      <x:c r="C616" t="str">
        <x:v>Smooth Silky Salty</x:v>
      </x:c>
      <x:c r="D616" s="14" t="n">
        <x:v>44764</x:v>
      </x:c>
      <x:c r="E616" s="16" t="n">
        <x:v>2583</x:v>
      </x:c>
      <x:c r="F616" s="18" t="n">
        <x:v>126</x:v>
      </x:c>
      <x:c r="G616" s="20" t="n">
        <x:f>IFERROR(E616/F616,0)</x:f>
        <x:v>20.5</x:v>
      </x:c>
      <x:c r="H616" t="str">
        <x:f>TEXT(D616,"mmm")</x:f>
        <x:v>Jul</x:v>
      </x:c>
      <x:c r="I616" s="22" t="n">
        <x:f>MONTH(D616)</x:f>
        <x:v>7</x:v>
      </x:c>
      <x:c r="J616" s="22" t="n">
        <x:f>YEAR(D616)</x:f>
        <x:v>2022</x:v>
      </x:c>
      <x:c r="K616" t="str">
        <x:f>IF(F616&gt;200,"Large Order","Standard Order")</x:f>
        <x:v>Standard Order</x:v>
      </x:c>
    </x:row>
    <x:row r="617">
      <x:c r="A617" t="str">
        <x:v>Curtice Advani</x:v>
      </x:c>
      <x:c r="B617" t="str">
        <x:v>New Zealand</x:v>
      </x:c>
      <x:c r="C617" t="str">
        <x:v>Mint Chip Choco</x:v>
      </x:c>
      <x:c r="D617" s="14" t="n">
        <x:v>44587</x:v>
      </x:c>
      <x:c r="E617" s="16" t="n">
        <x:v>3220</x:v>
      </x:c>
      <x:c r="F617" s="18" t="n">
        <x:v>265</x:v>
      </x:c>
      <x:c r="G617" s="20" t="n">
        <x:f>IFERROR(E617/F617,0)</x:f>
        <x:v>12.150943396226415</x:v>
      </x:c>
      <x:c r="H617" t="str">
        <x:f>TEXT(D617,"mmm")</x:f>
        <x:v>Jan</x:v>
      </x:c>
      <x:c r="I617" s="22" t="n">
        <x:f>MONTH(D617)</x:f>
        <x:v>1</x:v>
      </x:c>
      <x:c r="J617" s="22" t="n">
        <x:f>YEAR(D617)</x:f>
        <x:v>2022</x:v>
      </x:c>
      <x:c r="K617" t="str">
        <x:f>IF(F617&gt;200,"Large Order","Standard Order")</x:f>
        <x:v>Large Order</x:v>
      </x:c>
    </x:row>
    <x:row r="618">
      <x:c r="A618" t="str">
        <x:v>Curtice Advani</x:v>
      </x:c>
      <x:c r="B618" t="str">
        <x:v>USA</x:v>
      </x:c>
      <x:c r="C618" t="str">
        <x:v>Mint Chip Choco</x:v>
      </x:c>
      <x:c r="D618" s="14" t="n">
        <x:v>44797</x:v>
      </x:c>
      <x:c r="E618" s="16" t="n">
        <x:v>4802</x:v>
      </x:c>
      <x:c r="F618" s="18" t="n">
        <x:v>296</x:v>
      </x:c>
      <x:c r="G618" s="20" t="n">
        <x:f>IFERROR(E618/F618,0)</x:f>
        <x:v>16.222972972972972</x:v>
      </x:c>
      <x:c r="H618" t="str">
        <x:f>TEXT(D618,"mmm")</x:f>
        <x:v>Aug</x:v>
      </x:c>
      <x:c r="I618" s="22" t="n">
        <x:f>MONTH(D618)</x:f>
        <x:v>8</x:v>
      </x:c>
      <x:c r="J618" s="22" t="n">
        <x:f>YEAR(D618)</x:f>
        <x:v>2022</x:v>
      </x:c>
      <x:c r="K618" t="str">
        <x:f>IF(F618&gt;200,"Large Order","Standard Order")</x:f>
        <x:v>Large Order</x:v>
      </x:c>
    </x:row>
    <x:row r="619">
      <x:c r="A619" t="str">
        <x:v>Madelene Upcott</x:v>
      </x:c>
      <x:c r="B619" t="str">
        <x:v>New Zealand</x:v>
      </x:c>
      <x:c r="C619" t="str">
        <x:v>Fruit &amp; Nut Bars</x:v>
      </x:c>
      <x:c r="D619" s="14" t="n">
        <x:v>44579</x:v>
      </x:c>
      <x:c r="E619" s="16" t="n">
        <x:v>5677</x:v>
      </x:c>
      <x:c r="F619" s="18" t="n">
        <x:v>21</x:v>
      </x:c>
      <x:c r="G619" s="20" t="n">
        <x:f>IFERROR(E619/F619,0)</x:f>
        <x:v>270.3333333333333</x:v>
      </x:c>
      <x:c r="H619" t="str">
        <x:f>TEXT(D619,"mmm")</x:f>
        <x:v>Jan</x:v>
      </x:c>
      <x:c r="I619" s="22" t="n">
        <x:f>MONTH(D619)</x:f>
        <x:v>1</x:v>
      </x:c>
      <x:c r="J619" s="22" t="n">
        <x:f>YEAR(D619)</x:f>
        <x:v>2022</x:v>
      </x:c>
      <x:c r="K619" t="str">
        <x:f>IF(F619&gt;200,"Large Order","Standard Order")</x:f>
        <x:v>Standard Order</x:v>
      </x:c>
    </x:row>
    <x:row r="620">
      <x:c r="A620" t="str">
        <x:v>Karlen McCaffrey</x:v>
      </x:c>
      <x:c r="B620" t="str">
        <x:v>India</x:v>
      </x:c>
      <x:c r="C620" t="str">
        <x:v>85% Dark Bars</x:v>
      </x:c>
      <x:c r="D620" s="14" t="n">
        <x:v>44650</x:v>
      </x:c>
      <x:c r="E620" s="16" t="n">
        <x:v>945</x:v>
      </x:c>
      <x:c r="F620" s="18" t="n">
        <x:v>83</x:v>
      </x:c>
      <x:c r="G620" s="20" t="n">
        <x:f>IFERROR(E620/F620,0)</x:f>
        <x:v>11.385542168674698</x:v>
      </x:c>
      <x:c r="H620" t="str">
        <x:f>TEXT(D620,"mmm")</x:f>
        <x:v>Mar</x:v>
      </x:c>
      <x:c r="I620" s="22" t="n">
        <x:f>MONTH(D620)</x:f>
        <x:v>3</x:v>
      </x:c>
      <x:c r="J620" s="22" t="n">
        <x:f>YEAR(D620)</x:f>
        <x:v>2022</x:v>
      </x:c>
      <x:c r="K620" t="str">
        <x:f>IF(F620&gt;200,"Large Order","Standard Order")</x:f>
        <x:v>Standard Order</x:v>
      </x:c>
    </x:row>
    <x:row r="621">
      <x:c r="A621" t="str">
        <x:v>Ches Bonnell</x:v>
      </x:c>
      <x:c r="B621" t="str">
        <x:v>Australia</x:v>
      </x:c>
      <x:c r="C621" t="str">
        <x:v>Caramel Stuffed Bars</x:v>
      </x:c>
      <x:c r="D621" s="14" t="n">
        <x:v>44578</x:v>
      </x:c>
      <x:c r="E621" s="16" t="n">
        <x:v>8757</x:v>
      </x:c>
      <x:c r="F621" s="18" t="n">
        <x:v>162</x:v>
      </x:c>
      <x:c r="G621" s="20" t="n">
        <x:f>IFERROR(E621/F621,0)</x:f>
        <x:v>54.05555555555556</x:v>
      </x:c>
      <x:c r="H621" t="str">
        <x:f>TEXT(D621,"mmm")</x:f>
        <x:v>Jan</x:v>
      </x:c>
      <x:c r="I621" s="22" t="n">
        <x:f>MONTH(D621)</x:f>
        <x:v>1</x:v>
      </x:c>
      <x:c r="J621" s="22" t="n">
        <x:f>YEAR(D621)</x:f>
        <x:v>2022</x:v>
      </x:c>
      <x:c r="K621" t="str">
        <x:f>IF(F621&gt;200,"Large Order","Standard Order")</x:f>
        <x:v>Standard Order</x:v>
      </x:c>
    </x:row>
    <x:row r="622">
      <x:c r="A622" t="str">
        <x:v>Kelci Walkden</x:v>
      </x:c>
      <x:c r="B622" t="str">
        <x:v>USA</x:v>
      </x:c>
      <x:c r="C622" t="str">
        <x:v>Fruit &amp; Nut Bars</x:v>
      </x:c>
      <x:c r="D622" s="14" t="n">
        <x:v>44609</x:v>
      </x:c>
      <x:c r="E622" s="16" t="n">
        <x:v>4816</x:v>
      </x:c>
      <x:c r="F622" s="18" t="n">
        <x:v>145</x:v>
      </x:c>
      <x:c r="G622" s="20" t="n">
        <x:f>IFERROR(E622/F622,0)</x:f>
        <x:v>33.213793103448275</x:v>
      </x:c>
      <x:c r="H622" t="str">
        <x:f>TEXT(D622,"mmm")</x:f>
        <x:v>Feb</x:v>
      </x:c>
      <x:c r="I622" s="22" t="n">
        <x:f>MONTH(D622)</x:f>
        <x:v>2</x:v>
      </x:c>
      <x:c r="J622" s="22" t="n">
        <x:f>YEAR(D622)</x:f>
        <x:v>2022</x:v>
      </x:c>
      <x:c r="K622" t="str">
        <x:f>IF(F622&gt;200,"Large Order","Standard Order")</x:f>
        <x:v>Standard Order</x:v>
      </x:c>
    </x:row>
    <x:row r="623">
      <x:c r="A623" t="str">
        <x:v>Kelci Walkden</x:v>
      </x:c>
      <x:c r="B623" t="str">
        <x:v>Canada</x:v>
      </x:c>
      <x:c r="C623" t="str">
        <x:v>Peanut Butter Cubes</x:v>
      </x:c>
      <x:c r="D623" s="14" t="n">
        <x:v>44659</x:v>
      </x:c>
      <x:c r="E623" s="16" t="n">
        <x:v>7532</x:v>
      </x:c>
      <x:c r="F623" s="18" t="n">
        <x:v>44</x:v>
      </x:c>
      <x:c r="G623" s="20" t="n">
        <x:f>IFERROR(E623/F623,0)</x:f>
        <x:v>171.1818181818182</x:v>
      </x:c>
      <x:c r="H623" t="str">
        <x:f>TEXT(D623,"mmm")</x:f>
        <x:v>Apr</x:v>
      </x:c>
      <x:c r="I623" s="22" t="n">
        <x:f>MONTH(D623)</x:f>
        <x:v>4</x:v>
      </x:c>
      <x:c r="J623" s="22" t="n">
        <x:f>YEAR(D623)</x:f>
        <x:v>2022</x:v>
      </x:c>
      <x:c r="K623" t="str">
        <x:f>IF(F623&gt;200,"Large Order","Standard Order")</x:f>
        <x:v>Standard Order</x:v>
      </x:c>
    </x:row>
    <x:row r="624">
      <x:c r="A624" t="str">
        <x:v>Gigi Bohling</x:v>
      </x:c>
      <x:c r="B624" t="str">
        <x:v>Canada</x:v>
      </x:c>
      <x:c r="C624" t="str">
        <x:v>Drinking Coco</x:v>
      </x:c>
      <x:c r="D624" s="14" t="n">
        <x:v>44748</x:v>
      </x:c>
      <x:c r="E624" s="16" t="n">
        <x:v>3549</x:v>
      </x:c>
      <x:c r="F624" s="18" t="n">
        <x:v>82</x:v>
      </x:c>
      <x:c r="G624" s="20" t="n">
        <x:f>IFERROR(E624/F624,0)</x:f>
        <x:v>43.28048780487805</x:v>
      </x:c>
      <x:c r="H624" t="str">
        <x:f>TEXT(D624,"mmm")</x:f>
        <x:v>Jul</x:v>
      </x:c>
      <x:c r="I624" s="22" t="n">
        <x:f>MONTH(D624)</x:f>
        <x:v>7</x:v>
      </x:c>
      <x:c r="J624" s="22" t="n">
        <x:f>YEAR(D624)</x:f>
        <x:v>2022</x:v>
      </x:c>
      <x:c r="K624" t="str">
        <x:f>IF(F624&gt;200,"Large Order","Standard Order")</x:f>
        <x:v>Standard Order</x:v>
      </x:c>
    </x:row>
    <x:row r="625">
      <x:c r="A625" t="str">
        <x:v>Husein Augar</x:v>
      </x:c>
      <x:c r="B625" t="str">
        <x:v>India</x:v>
      </x:c>
      <x:c r="C625" t="str">
        <x:v>Fruit &amp; Nut Bars</x:v>
      </x:c>
      <x:c r="D625" s="14" t="n">
        <x:v>44655</x:v>
      </x:c>
      <x:c r="E625" s="16" t="n">
        <x:v>4340</x:v>
      </x:c>
      <x:c r="F625" s="18" t="n">
        <x:v>226</x:v>
      </x:c>
      <x:c r="G625" s="20" t="n">
        <x:f>IFERROR(E625/F625,0)</x:f>
        <x:v>19.20353982300885</x:v>
      </x:c>
      <x:c r="H625" t="str">
        <x:f>TEXT(D625,"mmm")</x:f>
        <x:v>Apr</x:v>
      </x:c>
      <x:c r="I625" s="22" t="n">
        <x:f>MONTH(D625)</x:f>
        <x:v>4</x:v>
      </x:c>
      <x:c r="J625" s="22" t="n">
        <x:f>YEAR(D625)</x:f>
        <x:v>2022</x:v>
      </x:c>
      <x:c r="K625" t="str">
        <x:f>IF(F625&gt;200,"Large Order","Standard Order")</x:f>
        <x:v>Large Order</x:v>
      </x:c>
    </x:row>
    <x:row r="626">
      <x:c r="A626" t="str">
        <x:v>Jan Morforth</x:v>
      </x:c>
      <x:c r="B626" t="str">
        <x:v>New Zealand</x:v>
      </x:c>
      <x:c r="C626" t="str">
        <x:v>Organic Choco Syrup</x:v>
      </x:c>
      <x:c r="D626" s="14" t="n">
        <x:v>44622</x:v>
      </x:c>
      <x:c r="E626" s="16" t="n">
        <x:v>1799</x:v>
      </x:c>
      <x:c r="F626" s="18" t="n">
        <x:v>207</x:v>
      </x:c>
      <x:c r="G626" s="20" t="n">
        <x:f>IFERROR(E626/F626,0)</x:f>
        <x:v>8.690821256038648</x:v>
      </x:c>
      <x:c r="H626" t="str">
        <x:f>TEXT(D626,"mmm")</x:f>
        <x:v>Mar</x:v>
      </x:c>
      <x:c r="I626" s="22" t="n">
        <x:f>MONTH(D626)</x:f>
        <x:v>3</x:v>
      </x:c>
      <x:c r="J626" s="22" t="n">
        <x:f>YEAR(D626)</x:f>
        <x:v>2022</x:v>
      </x:c>
      <x:c r="K626" t="str">
        <x:f>IF(F626&gt;200,"Large Order","Standard Order")</x:f>
        <x:v>Large Order</x:v>
      </x:c>
    </x:row>
    <x:row r="627">
      <x:c r="A627" t="str">
        <x:v>Gigi Bohling</x:v>
      </x:c>
      <x:c r="B627" t="str">
        <x:v>New Zealand</x:v>
      </x:c>
      <x:c r="C627" t="str">
        <x:v>Raspberry Choco</x:v>
      </x:c>
      <x:c r="D627" s="14" t="n">
        <x:v>44782</x:v>
      </x:c>
      <x:c r="E627" s="16" t="n">
        <x:v>1127</x:v>
      </x:c>
      <x:c r="F627" s="18" t="n">
        <x:v>176</x:v>
      </x:c>
      <x:c r="G627" s="20" t="n">
        <x:f>IFERROR(E627/F627,0)</x:f>
        <x:v>6.403409090909091</x:v>
      </x:c>
      <x:c r="H627" t="str">
        <x:f>TEXT(D627,"mmm")</x:f>
        <x:v>Aug</x:v>
      </x:c>
      <x:c r="I627" s="22" t="n">
        <x:f>MONTH(D627)</x:f>
        <x:v>8</x:v>
      </x:c>
      <x:c r="J627" s="22" t="n">
        <x:f>YEAR(D627)</x:f>
        <x:v>2022</x:v>
      </x:c>
      <x:c r="K627" t="str">
        <x:f>IF(F627&gt;200,"Large Order","Standard Order")</x:f>
        <x:v>Standard Order</x:v>
      </x:c>
    </x:row>
    <x:row r="628">
      <x:c r="A628" t="str">
        <x:v>Dennison Crosswaite</x:v>
      </x:c>
      <x:c r="B628" t="str">
        <x:v>Australia</x:v>
      </x:c>
      <x:c r="C628" t="str">
        <x:v>Milk Bars</x:v>
      </x:c>
      <x:c r="D628" s="14" t="n">
        <x:v>44721</x:v>
      </x:c>
      <x:c r="E628" s="16" t="n">
        <x:v>10038</x:v>
      </x:c>
      <x:c r="F628" s="18" t="n">
        <x:v>286</x:v>
      </x:c>
      <x:c r="G628" s="20" t="n">
        <x:f>IFERROR(E628/F628,0)</x:f>
        <x:v>35.0979020979021</x:v>
      </x:c>
      <x:c r="H628" t="str">
        <x:f>TEXT(D628,"mmm")</x:f>
        <x:v>Jun</x:v>
      </x:c>
      <x:c r="I628" s="22" t="n">
        <x:f>MONTH(D628)</x:f>
        <x:v>6</x:v>
      </x:c>
      <x:c r="J628" s="22" t="n">
        <x:f>YEAR(D628)</x:f>
        <x:v>2022</x:v>
      </x:c>
      <x:c r="K628" t="str">
        <x:f>IF(F628&gt;200,"Large Order","Standard Order")</x:f>
        <x:v>Large Order</x:v>
      </x:c>
    </x:row>
    <x:row r="629">
      <x:c r="A629" t="str">
        <x:v>Ches Bonnell</x:v>
      </x:c>
      <x:c r="B629" t="str">
        <x:v>UK</x:v>
      </x:c>
      <x:c r="C629" t="str">
        <x:v>Caramel Stuffed Bars</x:v>
      </x:c>
      <x:c r="D629" s="14" t="n">
        <x:v>44714</x:v>
      </x:c>
      <x:c r="E629" s="16" t="n">
        <x:v>2926</x:v>
      </x:c>
      <x:c r="F629" s="18" t="n">
        <x:v>300</x:v>
      </x:c>
      <x:c r="G629" s="20" t="n">
        <x:f>IFERROR(E629/F629,0)</x:f>
        <x:v>9.753333333333334</x:v>
      </x:c>
      <x:c r="H629" t="str">
        <x:f>TEXT(D629,"mmm")</x:f>
        <x:v>Jun</x:v>
      </x:c>
      <x:c r="I629" s="22" t="n">
        <x:f>MONTH(D629)</x:f>
        <x:v>6</x:v>
      </x:c>
      <x:c r="J629" s="22" t="n">
        <x:f>YEAR(D629)</x:f>
        <x:v>2022</x:v>
      </x:c>
      <x:c r="K629" t="str">
        <x:f>IF(F629&gt;200,"Large Order","Standard Order")</x:f>
        <x:v>Large Order</x:v>
      </x:c>
    </x:row>
    <x:row r="630">
      <x:c r="A630" t="str">
        <x:v>Van Tuxwell</x:v>
      </x:c>
      <x:c r="B630" t="str">
        <x:v>USA</x:v>
      </x:c>
      <x:c r="C630" t="str">
        <x:v>Fruit &amp; Nut Bars</x:v>
      </x:c>
      <x:c r="D630" s="14" t="n">
        <x:v>44747</x:v>
      </x:c>
      <x:c r="E630" s="16" t="n">
        <x:v>6279</x:v>
      </x:c>
      <x:c r="F630" s="18" t="n">
        <x:v>235</x:v>
      </x:c>
      <x:c r="G630" s="20" t="n">
        <x:f>IFERROR(E630/F630,0)</x:f>
        <x:v>26.719148936170214</x:v>
      </x:c>
      <x:c r="H630" t="str">
        <x:f>TEXT(D630,"mmm")</x:f>
        <x:v>Jul</x:v>
      </x:c>
      <x:c r="I630" s="22" t="n">
        <x:f>MONTH(D630)</x:f>
        <x:v>7</x:v>
      </x:c>
      <x:c r="J630" s="22" t="n">
        <x:f>YEAR(D630)</x:f>
        <x:v>2022</x:v>
      </x:c>
      <x:c r="K630" t="str">
        <x:f>IF(F630&gt;200,"Large Order","Standard Order")</x:f>
        <x:v>Large Order</x:v>
      </x:c>
    </x:row>
    <x:row r="631">
      <x:c r="A631" t="str">
        <x:v>Andria Kimpton</x:v>
      </x:c>
      <x:c r="B631" t="str">
        <x:v>Canada</x:v>
      </x:c>
      <x:c r="C631" t="str">
        <x:v>Eclairs</x:v>
      </x:c>
      <x:c r="D631" s="14" t="n">
        <x:v>44784</x:v>
      </x:c>
      <x:c r="E631" s="16" t="n">
        <x:v>308</x:v>
      </x:c>
      <x:c r="F631" s="18" t="n">
        <x:v>125</x:v>
      </x:c>
      <x:c r="G631" s="20" t="n">
        <x:f>IFERROR(E631/F631,0)</x:f>
        <x:v>2.464</x:v>
      </x:c>
      <x:c r="H631" t="str">
        <x:f>TEXT(D631,"mmm")</x:f>
        <x:v>Aug</x:v>
      </x:c>
      <x:c r="I631" s="22" t="n">
        <x:f>MONTH(D631)</x:f>
        <x:v>8</x:v>
      </x:c>
      <x:c r="J631" s="22" t="n">
        <x:f>YEAR(D631)</x:f>
        <x:v>2022</x:v>
      </x:c>
      <x:c r="K631" t="str">
        <x:f>IF(F631&gt;200,"Large Order","Standard Order")</x:f>
        <x:v>Standard Order</x:v>
      </x:c>
    </x:row>
    <x:row r="632">
      <x:c r="A632" t="str">
        <x:v>Madelene Upcott</x:v>
      </x:c>
      <x:c r="B632" t="str">
        <x:v>India</x:v>
      </x:c>
      <x:c r="C632" t="str">
        <x:v>Choco Coated Almonds</x:v>
      </x:c>
      <x:c r="D632" s="14" t="n">
        <x:v>44603</x:v>
      </x:c>
      <x:c r="E632" s="16" t="n">
        <x:v>3500</x:v>
      </x:c>
      <x:c r="F632" s="18" t="n">
        <x:v>145</x:v>
      </x:c>
      <x:c r="G632" s="20" t="n">
        <x:f>IFERROR(E632/F632,0)</x:f>
        <x:v>24.137931034482758</x:v>
      </x:c>
      <x:c r="H632" t="str">
        <x:f>TEXT(D632,"mmm")</x:f>
        <x:v>Feb</x:v>
      </x:c>
      <x:c r="I632" s="22" t="n">
        <x:f>MONTH(D632)</x:f>
        <x:v>2</x:v>
      </x:c>
      <x:c r="J632" s="22" t="n">
        <x:f>YEAR(D632)</x:f>
        <x:v>2022</x:v>
      </x:c>
      <x:c r="K632" t="str">
        <x:f>IF(F632&gt;200,"Large Order","Standard Order")</x:f>
        <x:v>Standard Order</x:v>
      </x:c>
    </x:row>
    <x:row r="633">
      <x:c r="A633" t="str">
        <x:v>Kelci Walkden</x:v>
      </x:c>
      <x:c r="B633" t="str">
        <x:v>New Zealand</x:v>
      </x:c>
      <x:c r="C633" t="str">
        <x:v>Spicy Special Slims</x:v>
      </x:c>
      <x:c r="D633" s="14" t="n">
        <x:v>44784</x:v>
      </x:c>
      <x:c r="E633" s="16" t="n">
        <x:v>658</x:v>
      </x:c>
      <x:c r="F633" s="18" t="n">
        <x:v>65</x:v>
      </x:c>
      <x:c r="G633" s="20" t="n">
        <x:f>IFERROR(E633/F633,0)</x:f>
        <x:v>10.123076923076923</x:v>
      </x:c>
      <x:c r="H633" t="str">
        <x:f>TEXT(D633,"mmm")</x:f>
        <x:v>Aug</x:v>
      </x:c>
      <x:c r="I633" s="22" t="n">
        <x:f>MONTH(D633)</x:f>
        <x:v>8</x:v>
      </x:c>
      <x:c r="J633" s="22" t="n">
        <x:f>YEAR(D633)</x:f>
        <x:v>2022</x:v>
      </x:c>
      <x:c r="K633" t="str">
        <x:f>IF(F633&gt;200,"Large Order","Standard Order")</x:f>
        <x:v>Standard Order</x:v>
      </x:c>
    </x:row>
    <x:row r="634">
      <x:c r="A634" t="str">
        <x:v>Roddy Speechley</x:v>
      </x:c>
      <x:c r="B634" t="str">
        <x:v>Australia</x:v>
      </x:c>
      <x:c r="C634" t="str">
        <x:v>Drinking Coco</x:v>
      </x:c>
      <x:c r="D634" s="14" t="n">
        <x:v>44693</x:v>
      </x:c>
      <x:c r="E634" s="16" t="n">
        <x:v>12565</x:v>
      </x:c>
      <x:c r="F634" s="18" t="n">
        <x:v>102</x:v>
      </x:c>
      <x:c r="G634" s="20" t="n">
        <x:f>IFERROR(E634/F634,0)</x:f>
        <x:v>123.18627450980392</x:v>
      </x:c>
      <x:c r="H634" t="str">
        <x:f>TEXT(D634,"mmm")</x:f>
        <x:v>May</x:v>
      </x:c>
      <x:c r="I634" s="22" t="n">
        <x:f>MONTH(D634)</x:f>
        <x:v>5</x:v>
      </x:c>
      <x:c r="J634" s="22" t="n">
        <x:f>YEAR(D634)</x:f>
        <x:v>2022</x:v>
      </x:c>
      <x:c r="K634" t="str">
        <x:f>IF(F634&gt;200,"Large Order","Standard Order")</x:f>
        <x:v>Standard Order</x:v>
      </x:c>
    </x:row>
    <x:row r="635">
      <x:c r="A635" t="str">
        <x:v>Wilone O'Kielt</x:v>
      </x:c>
      <x:c r="B635" t="str">
        <x:v>USA</x:v>
      </x:c>
      <x:c r="C635" t="str">
        <x:v>Milk Bars</x:v>
      </x:c>
      <x:c r="D635" s="14" t="n">
        <x:v>44757</x:v>
      </x:c>
      <x:c r="E635" s="16" t="n">
        <x:v>5012</x:v>
      </x:c>
      <x:c r="F635" s="18" t="n">
        <x:v>93</x:v>
      </x:c>
      <x:c r="G635" s="20" t="n">
        <x:f>IFERROR(E635/F635,0)</x:f>
        <x:v>53.89247311827957</x:v>
      </x:c>
      <x:c r="H635" t="str">
        <x:f>TEXT(D635,"mmm")</x:f>
        <x:v>Jul</x:v>
      </x:c>
      <x:c r="I635" s="22" t="n">
        <x:f>MONTH(D635)</x:f>
        <x:v>7</x:v>
      </x:c>
      <x:c r="J635" s="22" t="n">
        <x:f>YEAR(D635)</x:f>
        <x:v>2022</x:v>
      </x:c>
      <x:c r="K635" t="str">
        <x:f>IF(F635&gt;200,"Large Order","Standard Order")</x:f>
        <x:v>Standard Order</x:v>
      </x:c>
    </x:row>
    <x:row r="636">
      <x:c r="A636" t="str">
        <x:v>Andria Kimpton</x:v>
      </x:c>
      <x:c r="B636" t="str">
        <x:v>India</x:v>
      </x:c>
      <x:c r="C636" t="str">
        <x:v>Organic Choco Syrup</x:v>
      </x:c>
      <x:c r="D636" s="14" t="n">
        <x:v>44579</x:v>
      </x:c>
      <x:c r="E636" s="16" t="n">
        <x:v>3955</x:v>
      </x:c>
      <x:c r="F636" s="18" t="n">
        <x:v>134</x:v>
      </x:c>
      <x:c r="G636" s="20" t="n">
        <x:f>IFERROR(E636/F636,0)</x:f>
        <x:v>29.51492537313433</x:v>
      </x:c>
      <x:c r="H636" t="str">
        <x:f>TEXT(D636,"mmm")</x:f>
        <x:v>Jan</x:v>
      </x:c>
      <x:c r="I636" s="22" t="n">
        <x:f>MONTH(D636)</x:f>
        <x:v>1</x:v>
      </x:c>
      <x:c r="J636" s="22" t="n">
        <x:f>YEAR(D636)</x:f>
        <x:v>2022</x:v>
      </x:c>
      <x:c r="K636" t="str">
        <x:f>IF(F636&gt;200,"Large Order","Standard Order")</x:f>
        <x:v>Standard Order</x:v>
      </x:c>
    </x:row>
    <x:row r="637">
      <x:c r="A637" t="str">
        <x:v>Madelene Upcott</x:v>
      </x:c>
      <x:c r="B637" t="str">
        <x:v>UK</x:v>
      </x:c>
      <x:c r="C637" t="str">
        <x:v>Fruit &amp; Nut Bars</x:v>
      </x:c>
      <x:c r="D637" s="14" t="n">
        <x:v>44566</x:v>
      </x:c>
      <x:c r="E637" s="16" t="n">
        <x:v>8512</x:v>
      </x:c>
      <x:c r="F637" s="18" t="n">
        <x:v>189</x:v>
      </x:c>
      <x:c r="G637" s="20" t="n">
        <x:f>IFERROR(E637/F637,0)</x:f>
        <x:v>45.03703703703704</x:v>
      </x:c>
      <x:c r="H637" t="str">
        <x:f>TEXT(D637,"mmm")</x:f>
        <x:v>Jan</x:v>
      </x:c>
      <x:c r="I637" s="22" t="n">
        <x:f>MONTH(D637)</x:f>
        <x:v>1</x:v>
      </x:c>
      <x:c r="J637" s="22" t="n">
        <x:f>YEAR(D637)</x:f>
        <x:v>2022</x:v>
      </x:c>
      <x:c r="K637" t="str">
        <x:f>IF(F637&gt;200,"Large Order","Standard Order")</x:f>
        <x:v>Standard Order</x:v>
      </x:c>
    </x:row>
    <x:row r="638">
      <x:c r="A638" t="str">
        <x:v>Curtice Advani</x:v>
      </x:c>
      <x:c r="B638" t="str">
        <x:v>Australia</x:v>
      </x:c>
      <x:c r="C638" t="str">
        <x:v>50% Dark Bites</x:v>
      </x:c>
      <x:c r="D638" s="14" t="n">
        <x:v>44741</x:v>
      </x:c>
      <x:c r="E638" s="16" t="n">
        <x:v>504</x:v>
      </x:c>
      <x:c r="F638" s="18" t="n">
        <x:v>232</x:v>
      </x:c>
      <x:c r="G638" s="20" t="n">
        <x:f>IFERROR(E638/F638,0)</x:f>
        <x:v>2.1724137931034484</x:v>
      </x:c>
      <x:c r="H638" t="str">
        <x:f>TEXT(D638,"mmm")</x:f>
        <x:v>Jun</x:v>
      </x:c>
      <x:c r="I638" s="22" t="n">
        <x:f>MONTH(D638)</x:f>
        <x:v>6</x:v>
      </x:c>
      <x:c r="J638" s="22" t="n">
        <x:f>YEAR(D638)</x:f>
        <x:v>2022</x:v>
      </x:c>
      <x:c r="K638" t="str">
        <x:f>IF(F638&gt;200,"Large Order","Standard Order")</x:f>
        <x:v>Large Order</x:v>
      </x:c>
    </x:row>
    <x:row r="639">
      <x:c r="A639" t="str">
        <x:v>Brien Boise</x:v>
      </x:c>
      <x:c r="B639" t="str">
        <x:v>Canada</x:v>
      </x:c>
      <x:c r="C639" t="str">
        <x:v>Raspberry Choco</x:v>
      </x:c>
      <x:c r="D639" s="14" t="n">
        <x:v>44726</x:v>
      </x:c>
      <x:c r="E639" s="16" t="n">
        <x:v>2800</x:v>
      </x:c>
      <x:c r="F639" s="18" t="n">
        <x:v>45</x:v>
      </x:c>
      <x:c r="G639" s="20" t="n">
        <x:f>IFERROR(E639/F639,0)</x:f>
        <x:v>62.22222222222222</x:v>
      </x:c>
      <x:c r="H639" t="str">
        <x:f>TEXT(D639,"mmm")</x:f>
        <x:v>Jun</x:v>
      </x:c>
      <x:c r="I639" s="22" t="n">
        <x:f>MONTH(D639)</x:f>
        <x:v>6</x:v>
      </x:c>
      <x:c r="J639" s="22" t="n">
        <x:f>YEAR(D639)</x:f>
        <x:v>2022</x:v>
      </x:c>
      <x:c r="K639" t="str">
        <x:f>IF(F639&gt;200,"Large Order","Standard Order")</x:f>
        <x:v>Standard Order</x:v>
      </x:c>
    </x:row>
    <x:row r="640">
      <x:c r="A640" t="str">
        <x:v>Gunar Cockshoot</x:v>
      </x:c>
      <x:c r="B640" t="str">
        <x:v>India</x:v>
      </x:c>
      <x:c r="C640" t="str">
        <x:v>Mint Chip Choco</x:v>
      </x:c>
      <x:c r="D640" s="14" t="n">
        <x:v>44781</x:v>
      </x:c>
      <x:c r="E640" s="16" t="n">
        <x:v>4256</x:v>
      </x:c>
      <x:c r="F640" s="18" t="n">
        <x:v>67</x:v>
      </x:c>
      <x:c r="G640" s="20" t="n">
        <x:f>IFERROR(E640/F640,0)</x:f>
        <x:v>63.52238805970149</x:v>
      </x:c>
      <x:c r="H640" t="str">
        <x:f>TEXT(D640,"mmm")</x:f>
        <x:v>Aug</x:v>
      </x:c>
      <x:c r="I640" s="22" t="n">
        <x:f>MONTH(D640)</x:f>
        <x:v>8</x:v>
      </x:c>
      <x:c r="J640" s="22" t="n">
        <x:f>YEAR(D640)</x:f>
        <x:v>2022</x:v>
      </x:c>
      <x:c r="K640" t="str">
        <x:f>IF(F640&gt;200,"Large Order","Standard Order")</x:f>
        <x:v>Standard Order</x:v>
      </x:c>
    </x:row>
    <x:row r="641">
      <x:c r="A641" t="str">
        <x:v>Dennison Crosswaite</x:v>
      </x:c>
      <x:c r="B641" t="str">
        <x:v>India</x:v>
      </x:c>
      <x:c r="C641" t="str">
        <x:v>Mint Chip Choco</x:v>
      </x:c>
      <x:c r="D641" s="14" t="n">
        <x:v>44643</x:v>
      </x:c>
      <x:c r="E641" s="16" t="n">
        <x:v>13573</x:v>
      </x:c>
      <x:c r="F641" s="18" t="n">
        <x:v>138</x:v>
      </x:c>
      <x:c r="G641" s="20" t="n">
        <x:f>IFERROR(E641/F641,0)</x:f>
        <x:v>98.35507246376811</x:v>
      </x:c>
      <x:c r="H641" t="str">
        <x:f>TEXT(D641,"mmm")</x:f>
        <x:v>Mar</x:v>
      </x:c>
      <x:c r="I641" s="22" t="n">
        <x:f>MONTH(D641)</x:f>
        <x:v>3</x:v>
      </x:c>
      <x:c r="J641" s="22" t="n">
        <x:f>YEAR(D641)</x:f>
        <x:v>2022</x:v>
      </x:c>
      <x:c r="K641" t="str">
        <x:f>IF(F641&gt;200,"Large Order","Standard Order")</x:f>
        <x:v>Standard Order</x:v>
      </x:c>
    </x:row>
    <x:row r="642">
      <x:c r="A642" t="str">
        <x:v>Barr Faughny</x:v>
      </x:c>
      <x:c r="B642" t="str">
        <x:v>India</x:v>
      </x:c>
      <x:c r="C642" t="str">
        <x:v>Caramel Stuffed Bars</x:v>
      </x:c>
      <x:c r="D642" s="14" t="n">
        <x:v>44565</x:v>
      </x:c>
      <x:c r="E642" s="16" t="n">
        <x:v>6566</x:v>
      </x:c>
      <x:c r="F642" s="18" t="n">
        <x:v>99</x:v>
      </x:c>
      <x:c r="G642" s="20" t="n">
        <x:f>IFERROR(E642/F642,0)</x:f>
        <x:v>66.32323232323232</x:v>
      </x:c>
      <x:c r="H642" t="str">
        <x:f>TEXT(D642,"mmm")</x:f>
        <x:v>Jan</x:v>
      </x:c>
      <x:c r="I642" s="22" t="n">
        <x:f>MONTH(D642)</x:f>
        <x:v>1</x:v>
      </x:c>
      <x:c r="J642" s="22" t="n">
        <x:f>YEAR(D642)</x:f>
        <x:v>2022</x:v>
      </x:c>
      <x:c r="K642" t="str">
        <x:f>IF(F642&gt;200,"Large Order","Standard Order")</x:f>
        <x:v>Standard Order</x:v>
      </x:c>
    </x:row>
    <x:row r="643">
      <x:c r="A643" t="str">
        <x:v>Brien Boise</x:v>
      </x:c>
      <x:c r="B643" t="str">
        <x:v>India</x:v>
      </x:c>
      <x:c r="C643" t="str">
        <x:v>Milk Bars</x:v>
      </x:c>
      <x:c r="D643" s="14" t="n">
        <x:v>44614</x:v>
      </x:c>
      <x:c r="E643" s="16" t="n">
        <x:v>13503</x:v>
      </x:c>
      <x:c r="F643" s="18" t="n">
        <x:v>251</x:v>
      </x:c>
      <x:c r="G643" s="20" t="n">
        <x:f>IFERROR(E643/F643,0)</x:f>
        <x:v>53.79681274900398</x:v>
      </x:c>
      <x:c r="H643" t="str">
        <x:f>TEXT(D643,"mmm")</x:f>
        <x:v>Feb</x:v>
      </x:c>
      <x:c r="I643" s="22" t="n">
        <x:f>MONTH(D643)</x:f>
        <x:v>2</x:v>
      </x:c>
      <x:c r="J643" s="22" t="n">
        <x:f>YEAR(D643)</x:f>
        <x:v>2022</x:v>
      </x:c>
      <x:c r="K643" t="str">
        <x:f>IF(F643&gt;200,"Large Order","Standard Order")</x:f>
        <x:v>Large Order</x:v>
      </x:c>
    </x:row>
    <x:row r="644">
      <x:c r="A644" t="str">
        <x:v>Beverie Moffet</x:v>
      </x:c>
      <x:c r="B644" t="str">
        <x:v>UK</x:v>
      </x:c>
      <x:c r="C644" t="str">
        <x:v>Spicy Special Slims</x:v>
      </x:c>
      <x:c r="D644" s="14" t="n">
        <x:v>44609</x:v>
      </x:c>
      <x:c r="E644" s="16" t="n">
        <x:v>8680</x:v>
      </x:c>
      <x:c r="F644" s="18" t="n">
        <x:v>252</x:v>
      </x:c>
      <x:c r="G644" s="20" t="n">
        <x:f>IFERROR(E644/F644,0)</x:f>
        <x:v>34.44444444444444</x:v>
      </x:c>
      <x:c r="H644" t="str">
        <x:f>TEXT(D644,"mmm")</x:f>
        <x:v>Feb</x:v>
      </x:c>
      <x:c r="I644" s="22" t="n">
        <x:f>MONTH(D644)</x:f>
        <x:v>2</x:v>
      </x:c>
      <x:c r="J644" s="22" t="n">
        <x:f>YEAR(D644)</x:f>
        <x:v>2022</x:v>
      </x:c>
      <x:c r="K644" t="str">
        <x:f>IF(F644&gt;200,"Large Order","Standard Order")</x:f>
        <x:v>Large Order</x:v>
      </x:c>
    </x:row>
    <x:row r="645">
      <x:c r="A645" t="str">
        <x:v>Barr Faughny</x:v>
      </x:c>
      <x:c r="B645" t="str">
        <x:v>USA</x:v>
      </x:c>
      <x:c r="C645" t="str">
        <x:v>Almond Choco</x:v>
      </x:c>
      <x:c r="D645" s="14" t="n">
        <x:v>44595</x:v>
      </x:c>
      <x:c r="E645" s="16" t="n">
        <x:v>385</x:v>
      </x:c>
      <x:c r="F645" s="18" t="n">
        <x:v>78</x:v>
      </x:c>
      <x:c r="G645" s="20" t="n">
        <x:f>IFERROR(E645/F645,0)</x:f>
        <x:v>4.935897435897436</x:v>
      </x:c>
      <x:c r="H645" t="str">
        <x:f>TEXT(D645,"mmm")</x:f>
        <x:v>Feb</x:v>
      </x:c>
      <x:c r="I645" s="22" t="n">
        <x:f>MONTH(D645)</x:f>
        <x:v>2</x:v>
      </x:c>
      <x:c r="J645" s="22" t="n">
        <x:f>YEAR(D645)</x:f>
        <x:v>2022</x:v>
      </x:c>
      <x:c r="K645" t="str">
        <x:f>IF(F645&gt;200,"Large Order","Standard Order")</x:f>
        <x:v>Standard Order</x:v>
      </x:c>
    </x:row>
    <x:row r="646">
      <x:c r="A646" t="str">
        <x:v>Van Tuxwell</x:v>
      </x:c>
      <x:c r="B646" t="str">
        <x:v>Canada</x:v>
      </x:c>
      <x:c r="C646" t="str">
        <x:v>Raspberry Choco</x:v>
      </x:c>
      <x:c r="D646" s="14" t="n">
        <x:v>44637</x:v>
      </x:c>
      <x:c r="E646" s="16" t="n">
        <x:v>1267</x:v>
      </x:c>
      <x:c r="F646" s="18" t="n">
        <x:v>130</x:v>
      </x:c>
      <x:c r="G646" s="20" t="n">
        <x:f>IFERROR(E646/F646,0)</x:f>
        <x:v>9.746153846153845</x:v>
      </x:c>
      <x:c r="H646" t="str">
        <x:f>TEXT(D646,"mmm")</x:f>
        <x:v>Mar</x:v>
      </x:c>
      <x:c r="I646" s="22" t="n">
        <x:f>MONTH(D646)</x:f>
        <x:v>3</x:v>
      </x:c>
      <x:c r="J646" s="22" t="n">
        <x:f>YEAR(D646)</x:f>
        <x:v>2022</x:v>
      </x:c>
      <x:c r="K646" t="str">
        <x:f>IF(F646&gt;200,"Large Order","Standard Order")</x:f>
        <x:v>Standard Order</x:v>
      </x:c>
    </x:row>
    <x:row r="647">
      <x:c r="A647" t="str">
        <x:v>Wilone O'Kielt</x:v>
      </x:c>
      <x:c r="B647" t="str">
        <x:v>Australia</x:v>
      </x:c>
      <x:c r="C647" t="str">
        <x:v>Baker's Choco Chips</x:v>
      </x:c>
      <x:c r="D647" s="14" t="n">
        <x:v>44586</x:v>
      </x:c>
      <x:c r="E647" s="16" t="n">
        <x:v>2961</x:v>
      </x:c>
      <x:c r="F647" s="18" t="n">
        <x:v>154</x:v>
      </x:c>
      <x:c r="G647" s="20" t="n">
        <x:f>IFERROR(E647/F647,0)</x:f>
        <x:v>19.227272727272727</x:v>
      </x:c>
      <x:c r="H647" t="str">
        <x:f>TEXT(D647,"mmm")</x:f>
        <x:v>Jan</x:v>
      </x:c>
      <x:c r="I647" s="22" t="n">
        <x:f>MONTH(D647)</x:f>
        <x:v>1</x:v>
      </x:c>
      <x:c r="J647" s="22" t="n">
        <x:f>YEAR(D647)</x:f>
        <x:v>2022</x:v>
      </x:c>
      <x:c r="K647" t="str">
        <x:f>IF(F647&gt;200,"Large Order","Standard Order")</x:f>
        <x:v>Standard Order</x:v>
      </x:c>
    </x:row>
    <x:row r="648">
      <x:c r="A648" t="str">
        <x:v>Brien Boise</x:v>
      </x:c>
      <x:c r="B648" t="str">
        <x:v>Australia</x:v>
      </x:c>
      <x:c r="C648" t="str">
        <x:v>Milk Bars</x:v>
      </x:c>
      <x:c r="D648" s="14" t="n">
        <x:v>44769</x:v>
      </x:c>
      <x:c r="E648" s="16" t="n">
        <x:v>1981</x:v>
      </x:c>
      <x:c r="F648" s="18" t="n">
        <x:v>52</x:v>
      </x:c>
      <x:c r="G648" s="20" t="n">
        <x:f>IFERROR(E648/F648,0)</x:f>
        <x:v>38.09615384615385</x:v>
      </x:c>
      <x:c r="H648" t="str">
        <x:f>TEXT(D648,"mmm")</x:f>
        <x:v>Jul</x:v>
      </x:c>
      <x:c r="I648" s="22" t="n">
        <x:f>MONTH(D648)</x:f>
        <x:v>7</x:v>
      </x:c>
      <x:c r="J648" s="22" t="n">
        <x:f>YEAR(D648)</x:f>
        <x:v>2022</x:v>
      </x:c>
      <x:c r="K648" t="str">
        <x:f>IF(F648&gt;200,"Large Order","Standard Order")</x:f>
        <x:v>Standard Order</x:v>
      </x:c>
    </x:row>
    <x:row r="649">
      <x:c r="A649" t="str">
        <x:v>Husein Augar</x:v>
      </x:c>
      <x:c r="B649" t="str">
        <x:v>Australia</x:v>
      </x:c>
      <x:c r="C649" t="str">
        <x:v>Fruit &amp; Nut Bars</x:v>
      </x:c>
      <x:c r="D649" s="14" t="n">
        <x:v>44589</x:v>
      </x:c>
      <x:c r="E649" s="16" t="n">
        <x:v>7959</x:v>
      </x:c>
      <x:c r="F649" s="18" t="n">
        <x:v>53</x:v>
      </x:c>
      <x:c r="G649" s="20" t="n">
        <x:f>IFERROR(E649/F649,0)</x:f>
        <x:v>150.16981132075472</x:v>
      </x:c>
      <x:c r="H649" t="str">
        <x:f>TEXT(D649,"mmm")</x:f>
        <x:v>Jan</x:v>
      </x:c>
      <x:c r="I649" s="22" t="n">
        <x:f>MONTH(D649)</x:f>
        <x:v>1</x:v>
      </x:c>
      <x:c r="J649" s="22" t="n">
        <x:f>YEAR(D649)</x:f>
        <x:v>2022</x:v>
      </x:c>
      <x:c r="K649" t="str">
        <x:f>IF(F649&gt;200,"Large Order","Standard Order")</x:f>
        <x:v>Standard Order</x:v>
      </x:c>
    </x:row>
    <x:row r="650">
      <x:c r="A650" t="str">
        <x:v>Madelene Upcott</x:v>
      </x:c>
      <x:c r="B650" t="str">
        <x:v>Australia</x:v>
      </x:c>
      <x:c r="C650" t="str">
        <x:v>Organic Choco Syrup</x:v>
      </x:c>
      <x:c r="D650" s="14" t="n">
        <x:v>44747</x:v>
      </x:c>
      <x:c r="E650" s="16" t="n">
        <x:v>10794</x:v>
      </x:c>
      <x:c r="F650" s="18" t="n">
        <x:v>50</x:v>
      </x:c>
      <x:c r="G650" s="20" t="n">
        <x:f>IFERROR(E650/F650,0)</x:f>
        <x:v>215.88</x:v>
      </x:c>
      <x:c r="H650" t="str">
        <x:f>TEXT(D650,"mmm")</x:f>
        <x:v>Jul</x:v>
      </x:c>
      <x:c r="I650" s="22" t="n">
        <x:f>MONTH(D650)</x:f>
        <x:v>7</x:v>
      </x:c>
      <x:c r="J650" s="22" t="n">
        <x:f>YEAR(D650)</x:f>
        <x:v>2022</x:v>
      </x:c>
      <x:c r="K650" t="str">
        <x:f>IF(F650&gt;200,"Large Order","Standard Order")</x:f>
        <x:v>Standard Order</x:v>
      </x:c>
    </x:row>
    <x:row r="651">
      <x:c r="A651" t="str">
        <x:v>Van Tuxwell</x:v>
      </x:c>
      <x:c r="B651" t="str">
        <x:v>India</x:v>
      </x:c>
      <x:c r="C651" t="str">
        <x:v>White Choc</x:v>
      </x:c>
      <x:c r="D651" s="14" t="n">
        <x:v>44635</x:v>
      </x:c>
      <x:c r="E651" s="16" t="n">
        <x:v>1897</x:v>
      </x:c>
      <x:c r="F651" s="18" t="n">
        <x:v>44</x:v>
      </x:c>
      <x:c r="G651" s="20" t="n">
        <x:f>IFERROR(E651/F651,0)</x:f>
        <x:v>43.11363636363637</x:v>
      </x:c>
      <x:c r="H651" t="str">
        <x:f>TEXT(D651,"mmm")</x:f>
        <x:v>Mar</x:v>
      </x:c>
      <x:c r="I651" s="22" t="n">
        <x:f>MONTH(D651)</x:f>
        <x:v>3</x:v>
      </x:c>
      <x:c r="J651" s="22" t="n">
        <x:f>YEAR(D651)</x:f>
        <x:v>2022</x:v>
      </x:c>
      <x:c r="K651" t="str">
        <x:f>IF(F651&gt;200,"Large Order","Standard Order")</x:f>
        <x:v>Standard Order</x:v>
      </x:c>
    </x:row>
    <x:row r="652">
      <x:c r="A652" t="str">
        <x:v>Gunar Cockshoot</x:v>
      </x:c>
      <x:c r="B652" t="str">
        <x:v>Canada</x:v>
      </x:c>
      <x:c r="C652" t="str">
        <x:v>After Nines</x:v>
      </x:c>
      <x:c r="D652" s="14" t="n">
        <x:v>44777</x:v>
      </x:c>
      <x:c r="E652" s="16" t="n">
        <x:v>2744</x:v>
      </x:c>
      <x:c r="F652" s="18" t="n">
        <x:v>200</x:v>
      </x:c>
      <x:c r="G652" s="20" t="n">
        <x:f>IFERROR(E652/F652,0)</x:f>
        <x:v>13.72</x:v>
      </x:c>
      <x:c r="H652" t="str">
        <x:f>TEXT(D652,"mmm")</x:f>
        <x:v>Aug</x:v>
      </x:c>
      <x:c r="I652" s="22" t="n">
        <x:f>MONTH(D652)</x:f>
        <x:v>8</x:v>
      </x:c>
      <x:c r="J652" s="22" t="n">
        <x:f>YEAR(D652)</x:f>
        <x:v>2022</x:v>
      </x:c>
      <x:c r="K652" t="str">
        <x:f>IF(F652&gt;200,"Large Order","Standard Order")</x:f>
        <x:v>Standard Order</x:v>
      </x:c>
    </x:row>
    <x:row r="653">
      <x:c r="A653" t="str">
        <x:v>Jan Morforth</x:v>
      </x:c>
      <x:c r="B653" t="str">
        <x:v>USA</x:v>
      </x:c>
      <x:c r="C653" t="str">
        <x:v>Fruit &amp; Nut Bars</x:v>
      </x:c>
      <x:c r="D653" s="14" t="n">
        <x:v>44739</x:v>
      </x:c>
      <x:c r="E653" s="16" t="n">
        <x:v>4382</x:v>
      </x:c>
      <x:c r="F653" s="18" t="n">
        <x:v>361</x:v>
      </x:c>
      <x:c r="G653" s="20" t="n">
        <x:f>IFERROR(E653/F653,0)</x:f>
        <x:v>12.138504155124654</x:v>
      </x:c>
      <x:c r="H653" t="str">
        <x:f>TEXT(D653,"mmm")</x:f>
        <x:v>Jun</x:v>
      </x:c>
      <x:c r="I653" s="22" t="n">
        <x:f>MONTH(D653)</x:f>
        <x:v>6</x:v>
      </x:c>
      <x:c r="J653" s="22" t="n">
        <x:f>YEAR(D653)</x:f>
        <x:v>2022</x:v>
      </x:c>
      <x:c r="K653" t="str">
        <x:f>IF(F653&gt;200,"Large Order","Standard Order")</x:f>
        <x:v>Large Order</x:v>
      </x:c>
    </x:row>
    <x:row r="654">
      <x:c r="A654" t="str">
        <x:v>Jan Morforth</x:v>
      </x:c>
      <x:c r="B654" t="str">
        <x:v>Canada</x:v>
      </x:c>
      <x:c r="C654" t="str">
        <x:v>After Nines</x:v>
      </x:c>
      <x:c r="D654" s="14" t="n">
        <x:v>44755</x:v>
      </x:c>
      <x:c r="E654" s="16" t="n">
        <x:v>4515</x:v>
      </x:c>
      <x:c r="F654" s="18" t="n">
        <x:v>172</x:v>
      </x:c>
      <x:c r="G654" s="20" t="n">
        <x:f>IFERROR(E654/F654,0)</x:f>
        <x:v>26.25</x:v>
      </x:c>
      <x:c r="H654" t="str">
        <x:f>TEXT(D654,"mmm")</x:f>
        <x:v>Jul</x:v>
      </x:c>
      <x:c r="I654" s="22" t="n">
        <x:f>MONTH(D654)</x:f>
        <x:v>7</x:v>
      </x:c>
      <x:c r="J654" s="22" t="n">
        <x:f>YEAR(D654)</x:f>
        <x:v>2022</x:v>
      </x:c>
      <x:c r="K654" t="str">
        <x:f>IF(F654&gt;200,"Large Order","Standard Order")</x:f>
        <x:v>Standard Order</x:v>
      </x:c>
    </x:row>
    <x:row r="655">
      <x:c r="A655" t="str">
        <x:v>Barr Faughny</x:v>
      </x:c>
      <x:c r="B655" t="str">
        <x:v>New Zealand</x:v>
      </x:c>
      <x:c r="C655" t="str">
        <x:v>Manuka Honey Choco</x:v>
      </x:c>
      <x:c r="D655" s="14" t="n">
        <x:v>44616</x:v>
      </x:c>
      <x:c r="E655" s="16" t="n">
        <x:v>5474</x:v>
      </x:c>
      <x:c r="F655" s="18" t="n">
        <x:v>239</x:v>
      </x:c>
      <x:c r="G655" s="20" t="n">
        <x:f>IFERROR(E655/F655,0)</x:f>
        <x:v>22.90376569037657</x:v>
      </x:c>
      <x:c r="H655" t="str">
        <x:f>TEXT(D655,"mmm")</x:f>
        <x:v>Feb</x:v>
      </x:c>
      <x:c r="I655" s="22" t="n">
        <x:f>MONTH(D655)</x:f>
        <x:v>2</x:v>
      </x:c>
      <x:c r="J655" s="22" t="n">
        <x:f>YEAR(D655)</x:f>
        <x:v>2022</x:v>
      </x:c>
      <x:c r="K655" t="str">
        <x:f>IF(F655&gt;200,"Large Order","Standard Order")</x:f>
        <x:v>Large Order</x:v>
      </x:c>
    </x:row>
    <x:row r="656">
      <x:c r="A656" t="str">
        <x:v>Karlen McCaffrey</x:v>
      </x:c>
      <x:c r="B656" t="str">
        <x:v>New Zealand</x:v>
      </x:c>
      <x:c r="C656" t="str">
        <x:v>85% Dark Bars</x:v>
      </x:c>
      <x:c r="D656" s="14" t="n">
        <x:v>44740</x:v>
      </x:c>
      <x:c r="E656" s="16" t="n">
        <x:v>6069</x:v>
      </x:c>
      <x:c r="F656" s="18" t="n">
        <x:v>55</x:v>
      </x:c>
      <x:c r="G656" s="20" t="n">
        <x:f>IFERROR(E656/F656,0)</x:f>
        <x:v>110.34545454545454</x:v>
      </x:c>
      <x:c r="H656" t="str">
        <x:f>TEXT(D656,"mmm")</x:f>
        <x:v>Jun</x:v>
      </x:c>
      <x:c r="I656" s="22" t="n">
        <x:f>MONTH(D656)</x:f>
        <x:v>6</x:v>
      </x:c>
      <x:c r="J656" s="22" t="n">
        <x:f>YEAR(D656)</x:f>
        <x:v>2022</x:v>
      </x:c>
      <x:c r="K656" t="str">
        <x:f>IF(F656&gt;200,"Large Order","Standard Order")</x:f>
        <x:v>Standard Order</x:v>
      </x:c>
    </x:row>
    <x:row r="657">
      <x:c r="A657" t="str">
        <x:v>Oby Sorrel</x:v>
      </x:c>
      <x:c r="B657" t="str">
        <x:v>Australia</x:v>
      </x:c>
      <x:c r="C657" t="str">
        <x:v>85% Dark Bars</x:v>
      </x:c>
      <x:c r="D657" s="14" t="n">
        <x:v>44742</x:v>
      </x:c>
      <x:c r="E657" s="16" t="n">
        <x:v>6944</x:v>
      </x:c>
      <x:c r="F657" s="18" t="n">
        <x:v>27</x:v>
      </x:c>
      <x:c r="G657" s="20" t="n">
        <x:f>IFERROR(E657/F657,0)</x:f>
        <x:v>257.18518518518516</x:v>
      </x:c>
      <x:c r="H657" t="str">
        <x:f>TEXT(D657,"mmm")</x:f>
        <x:v>Jun</x:v>
      </x:c>
      <x:c r="I657" s="22" t="n">
        <x:f>MONTH(D657)</x:f>
        <x:v>6</x:v>
      </x:c>
      <x:c r="J657" s="22" t="n">
        <x:f>YEAR(D657)</x:f>
        <x:v>2022</x:v>
      </x:c>
      <x:c r="K657" t="str">
        <x:f>IF(F657&gt;200,"Large Order","Standard Order")</x:f>
        <x:v>Standard Order</x:v>
      </x:c>
    </x:row>
    <x:row r="658">
      <x:c r="A658" t="str">
        <x:v>Curtice Advani</x:v>
      </x:c>
      <x:c r="B658" t="str">
        <x:v>Canada</x:v>
      </x:c>
      <x:c r="C658" t="str">
        <x:v>Choco Coated Almonds</x:v>
      </x:c>
      <x:c r="D658" s="14" t="n">
        <x:v>44791</x:v>
      </x:c>
      <x:c r="E658" s="16" t="n">
        <x:v>5859</x:v>
      </x:c>
      <x:c r="F658" s="18" t="n">
        <x:v>7</x:v>
      </x:c>
      <x:c r="G658" s="20" t="n">
        <x:f>IFERROR(E658/F658,0)</x:f>
        <x:v>837</x:v>
      </x:c>
      <x:c r="H658" t="str">
        <x:f>TEXT(D658,"mmm")</x:f>
        <x:v>Aug</x:v>
      </x:c>
      <x:c r="I658" s="22" t="n">
        <x:f>MONTH(D658)</x:f>
        <x:v>8</x:v>
      </x:c>
      <x:c r="J658" s="22" t="n">
        <x:f>YEAR(D658)</x:f>
        <x:v>2022</x:v>
      </x:c>
      <x:c r="K658" t="str">
        <x:f>IF(F658&gt;200,"Large Order","Standard Order")</x:f>
        <x:v>Standard Order</x:v>
      </x:c>
    </x:row>
    <x:row r="659">
      <x:c r="A659" t="str">
        <x:v>Kaine Padly</x:v>
      </x:c>
      <x:c r="B659" t="str">
        <x:v>India</x:v>
      </x:c>
      <x:c r="C659" t="str">
        <x:v>70% Dark Bites</x:v>
      </x:c>
      <x:c r="D659" s="14" t="n">
        <x:v>44585</x:v>
      </x:c>
      <x:c r="E659" s="16" t="n">
        <x:v>12173</x:v>
      </x:c>
      <x:c r="F659" s="18" t="n">
        <x:v>301</x:v>
      </x:c>
      <x:c r="G659" s="20" t="n">
        <x:f>IFERROR(E659/F659,0)</x:f>
        <x:v>40.44186046511628</x:v>
      </x:c>
      <x:c r="H659" t="str">
        <x:f>TEXT(D659,"mmm")</x:f>
        <x:v>Jan</x:v>
      </x:c>
      <x:c r="I659" s="22" t="n">
        <x:f>MONTH(D659)</x:f>
        <x:v>1</x:v>
      </x:c>
      <x:c r="J659" s="22" t="n">
        <x:f>YEAR(D659)</x:f>
        <x:v>2022</x:v>
      </x:c>
      <x:c r="K659" t="str">
        <x:f>IF(F659&gt;200,"Large Order","Standard Order")</x:f>
        <x:v>Large Order</x:v>
      </x:c>
    </x:row>
    <x:row r="660">
      <x:c r="A660" t="str">
        <x:v>Beverie Moffet</x:v>
      </x:c>
      <x:c r="B660" t="str">
        <x:v>USA</x:v>
      </x:c>
      <x:c r="C660" t="str">
        <x:v>White Choc</x:v>
      </x:c>
      <x:c r="D660" s="14" t="n">
        <x:v>44631</x:v>
      </x:c>
      <x:c r="E660" s="16" t="n">
        <x:v>5292</x:v>
      </x:c>
      <x:c r="F660" s="18" t="n">
        <x:v>134</x:v>
      </x:c>
      <x:c r="G660" s="20" t="n">
        <x:f>IFERROR(E660/F660,0)</x:f>
        <x:v>39.492537313432834</x:v>
      </x:c>
      <x:c r="H660" t="str">
        <x:f>TEXT(D660,"mmm")</x:f>
        <x:v>Mar</x:v>
      </x:c>
      <x:c r="I660" s="22" t="n">
        <x:f>MONTH(D660)</x:f>
        <x:v>3</x:v>
      </x:c>
      <x:c r="J660" s="22" t="n">
        <x:f>YEAR(D660)</x:f>
        <x:v>2022</x:v>
      </x:c>
      <x:c r="K660" t="str">
        <x:f>IF(F660&gt;200,"Large Order","Standard Order")</x:f>
        <x:v>Standard Order</x:v>
      </x:c>
    </x:row>
    <x:row r="661">
      <x:c r="A661" t="str">
        <x:v>Ches Bonnell</x:v>
      </x:c>
      <x:c r="B661" t="str">
        <x:v>New Zealand</x:v>
      </x:c>
      <x:c r="C661" t="str">
        <x:v>After Nines</x:v>
      </x:c>
      <x:c r="D661" s="14" t="n">
        <x:v>44735</x:v>
      </x:c>
      <x:c r="E661" s="16" t="n">
        <x:v>5705</x:v>
      </x:c>
      <x:c r="F661" s="18" t="n">
        <x:v>350</x:v>
      </x:c>
      <x:c r="G661" s="20" t="n">
        <x:f>IFERROR(E661/F661,0)</x:f>
        <x:v>16.3</x:v>
      </x:c>
      <x:c r="H661" t="str">
        <x:f>TEXT(D661,"mmm")</x:f>
        <x:v>Jun</x:v>
      </x:c>
      <x:c r="I661" s="22" t="n">
        <x:f>MONTH(D661)</x:f>
        <x:v>6</x:v>
      </x:c>
      <x:c r="J661" s="22" t="n">
        <x:f>YEAR(D661)</x:f>
        <x:v>2022</x:v>
      </x:c>
      <x:c r="K661" t="str">
        <x:f>IF(F661&gt;200,"Large Order","Standard Order")</x:f>
        <x:v>Large Order</x:v>
      </x:c>
    </x:row>
    <x:row r="662">
      <x:c r="A662" t="str">
        <x:v>Husein Augar</x:v>
      </x:c>
      <x:c r="B662" t="str">
        <x:v>India</x:v>
      </x:c>
      <x:c r="C662" t="str">
        <x:v>Spicy Special Slims</x:v>
      </x:c>
      <x:c r="D662" s="14" t="n">
        <x:v>44795</x:v>
      </x:c>
      <x:c r="E662" s="16" t="n">
        <x:v>2492</x:v>
      </x:c>
      <x:c r="F662" s="18" t="n">
        <x:v>33</x:v>
      </x:c>
      <x:c r="G662" s="20" t="n">
        <x:f>IFERROR(E662/F662,0)</x:f>
        <x:v>75.51515151515152</x:v>
      </x:c>
      <x:c r="H662" t="str">
        <x:f>TEXT(D662,"mmm")</x:f>
        <x:v>Aug</x:v>
      </x:c>
      <x:c r="I662" s="22" t="n">
        <x:f>MONTH(D662)</x:f>
        <x:v>8</x:v>
      </x:c>
      <x:c r="J662" s="22" t="n">
        <x:f>YEAR(D662)</x:f>
        <x:v>2022</x:v>
      </x:c>
      <x:c r="K662" t="str">
        <x:f>IF(F662&gt;200,"Large Order","Standard Order")</x:f>
        <x:v>Standard Order</x:v>
      </x:c>
    </x:row>
    <x:row r="663">
      <x:c r="A663" t="str">
        <x:v>Gunar Cockshoot</x:v>
      </x:c>
      <x:c r="B663" t="str">
        <x:v>Canada</x:v>
      </x:c>
      <x:c r="C663" t="str">
        <x:v>50% Dark Bites</x:v>
      </x:c>
      <x:c r="D663" s="14" t="n">
        <x:v>44565</x:v>
      </x:c>
      <x:c r="E663" s="16" t="n">
        <x:v>3024</x:v>
      </x:c>
      <x:c r="F663" s="18" t="n">
        <x:v>23</x:v>
      </x:c>
      <x:c r="G663" s="20" t="n">
        <x:f>IFERROR(E663/F663,0)</x:f>
        <x:v>131.47826086956522</x:v>
      </x:c>
      <x:c r="H663" t="str">
        <x:f>TEXT(D663,"mmm")</x:f>
        <x:v>Jan</x:v>
      </x:c>
      <x:c r="I663" s="22" t="n">
        <x:f>MONTH(D663)</x:f>
        <x:v>1</x:v>
      </x:c>
      <x:c r="J663" s="22" t="n">
        <x:f>YEAR(D663)</x:f>
        <x:v>2022</x:v>
      </x:c>
      <x:c r="K663" t="str">
        <x:f>IF(F663&gt;200,"Large Order","Standard Order")</x:f>
        <x:v>Standard Order</x:v>
      </x:c>
    </x:row>
    <x:row r="664">
      <x:c r="A664" t="str">
        <x:v>Curtice Advani</x:v>
      </x:c>
      <x:c r="B664" t="str">
        <x:v>India</x:v>
      </x:c>
      <x:c r="C664" t="str">
        <x:v>Milk Bars</x:v>
      </x:c>
      <x:c r="D664" s="14" t="n">
        <x:v>44656</x:v>
      </x:c>
      <x:c r="E664" s="16" t="n">
        <x:v>3437</x:v>
      </x:c>
      <x:c r="F664" s="18" t="n">
        <x:v>201</x:v>
      </x:c>
      <x:c r="G664" s="20" t="n">
        <x:f>IFERROR(E664/F664,0)</x:f>
        <x:v>17.09950248756219</x:v>
      </x:c>
      <x:c r="H664" t="str">
        <x:f>TEXT(D664,"mmm")</x:f>
        <x:v>Apr</x:v>
      </x:c>
      <x:c r="I664" s="22" t="n">
        <x:f>MONTH(D664)</x:f>
        <x:v>4</x:v>
      </x:c>
      <x:c r="J664" s="22" t="n">
        <x:f>YEAR(D664)</x:f>
        <x:v>2022</x:v>
      </x:c>
      <x:c r="K664" t="str">
        <x:f>IF(F664&gt;200,"Large Order","Standard Order")</x:f>
        <x:v>Large Order</x:v>
      </x:c>
    </x:row>
    <x:row r="665">
      <x:c r="A665" t="str">
        <x:v>Beverie Moffet</x:v>
      </x:c>
      <x:c r="B665" t="str">
        <x:v>India</x:v>
      </x:c>
      <x:c r="C665" t="str">
        <x:v>Milk Bars</x:v>
      </x:c>
      <x:c r="D665" s="14" t="n">
        <x:v>44666</x:v>
      </x:c>
      <x:c r="E665" s="16" t="n">
        <x:v>1869</x:v>
      </x:c>
      <x:c r="F665" s="18" t="n">
        <x:v>323</x:v>
      </x:c>
      <x:c r="G665" s="20" t="n">
        <x:f>IFERROR(E665/F665,0)</x:f>
        <x:v>5.786377708978328</x:v>
      </x:c>
      <x:c r="H665" t="str">
        <x:f>TEXT(D665,"mmm")</x:f>
        <x:v>Apr</x:v>
      </x:c>
      <x:c r="I665" s="22" t="n">
        <x:f>MONTH(D665)</x:f>
        <x:v>4</x:v>
      </x:c>
      <x:c r="J665" s="22" t="n">
        <x:f>YEAR(D665)</x:f>
        <x:v>2022</x:v>
      </x:c>
      <x:c r="K665" t="str">
        <x:f>IF(F665&gt;200,"Large Order","Standard Order")</x:f>
        <x:v>Large Order</x:v>
      </x:c>
    </x:row>
    <x:row r="666">
      <x:c r="A666" t="str">
        <x:v>Husein Augar</x:v>
      </x:c>
      <x:c r="B666" t="str">
        <x:v>Australia</x:v>
      </x:c>
      <x:c r="C666" t="str">
        <x:v>White Choc</x:v>
      </x:c>
      <x:c r="D666" s="14" t="n">
        <x:v>44692</x:v>
      </x:c>
      <x:c r="E666" s="16" t="n">
        <x:v>3171</x:v>
      </x:c>
      <x:c r="F666" s="18" t="n">
        <x:v>220</x:v>
      </x:c>
      <x:c r="G666" s="20" t="n">
        <x:f>IFERROR(E666/F666,0)</x:f>
        <x:v>14.413636363636364</x:v>
      </x:c>
      <x:c r="H666" t="str">
        <x:f>TEXT(D666,"mmm")</x:f>
        <x:v>May</x:v>
      </x:c>
      <x:c r="I666" s="22" t="n">
        <x:f>MONTH(D666)</x:f>
        <x:v>5</x:v>
      </x:c>
      <x:c r="J666" s="22" t="n">
        <x:f>YEAR(D666)</x:f>
        <x:v>2022</x:v>
      </x:c>
      <x:c r="K666" t="str">
        <x:f>IF(F666&gt;200,"Large Order","Standard Order")</x:f>
        <x:v>Large Order</x:v>
      </x:c>
    </x:row>
    <x:row r="667">
      <x:c r="A667" t="str">
        <x:v>Andria Kimpton</x:v>
      </x:c>
      <x:c r="B667" t="str">
        <x:v>Canada</x:v>
      </x:c>
      <x:c r="C667" t="str">
        <x:v>Manuka Honey Choco</x:v>
      </x:c>
      <x:c r="D667" s="14" t="n">
        <x:v>44763</x:v>
      </x:c>
      <x:c r="E667" s="16" t="n">
        <x:v>4858</x:v>
      </x:c>
      <x:c r="F667" s="18" t="n">
        <x:v>488</x:v>
      </x:c>
      <x:c r="G667" s="20" t="n">
        <x:f>IFERROR(E667/F667,0)</x:f>
        <x:v>9.954918032786885</x:v>
      </x:c>
      <x:c r="H667" t="str">
        <x:f>TEXT(D667,"mmm")</x:f>
        <x:v>Jul</x:v>
      </x:c>
      <x:c r="I667" s="22" t="n">
        <x:f>MONTH(D667)</x:f>
        <x:v>7</x:v>
      </x:c>
      <x:c r="J667" s="22" t="n">
        <x:f>YEAR(D667)</x:f>
        <x:v>2022</x:v>
      </x:c>
      <x:c r="K667" t="str">
        <x:f>IF(F667&gt;200,"Large Order","Standard Order")</x:f>
        <x:v>Large Order</x:v>
      </x:c>
    </x:row>
    <x:row r="668">
      <x:c r="A668" t="str">
        <x:v>Jan Morforth</x:v>
      </x:c>
      <x:c r="B668" t="str">
        <x:v>New Zealand</x:v>
      </x:c>
      <x:c r="C668" t="str">
        <x:v>Orange Choco</x:v>
      </x:c>
      <x:c r="D668" s="14" t="n">
        <x:v>44603</x:v>
      </x:c>
      <x:c r="E668" s="16" t="n">
        <x:v>1225</x:v>
      </x:c>
      <x:c r="F668" s="18" t="n">
        <x:v>84</x:v>
      </x:c>
      <x:c r="G668" s="20" t="n">
        <x:f>IFERROR(E668/F668,0)</x:f>
        <x:v>14.583333333333334</x:v>
      </x:c>
      <x:c r="H668" t="str">
        <x:f>TEXT(D668,"mmm")</x:f>
        <x:v>Feb</x:v>
      </x:c>
      <x:c r="I668" s="22" t="n">
        <x:f>MONTH(D668)</x:f>
        <x:v>2</x:v>
      </x:c>
      <x:c r="J668" s="22" t="n">
        <x:f>YEAR(D668)</x:f>
        <x:v>2022</x:v>
      </x:c>
      <x:c r="K668" t="str">
        <x:f>IF(F668&gt;200,"Large Order","Standard Order")</x:f>
        <x:v>Standard Order</x:v>
      </x:c>
    </x:row>
    <x:row r="669">
      <x:c r="A669" t="str">
        <x:v>Andria Kimpton</x:v>
      </x:c>
      <x:c r="B669" t="str">
        <x:v>Canada</x:v>
      </x:c>
      <x:c r="C669" t="str">
        <x:v>Smooth Silky Salty</x:v>
      </x:c>
      <x:c r="D669" s="14" t="n">
        <x:v>44750</x:v>
      </x:c>
      <x:c r="E669" s="16" t="n">
        <x:v>1155</x:v>
      </x:c>
      <x:c r="F669" s="18" t="n">
        <x:v>79</x:v>
      </x:c>
      <x:c r="G669" s="20" t="n">
        <x:f>IFERROR(E669/F669,0)</x:f>
        <x:v>14.620253164556962</x:v>
      </x:c>
      <x:c r="H669" t="str">
        <x:f>TEXT(D669,"mmm")</x:f>
        <x:v>Jul</x:v>
      </x:c>
      <x:c r="I669" s="22" t="n">
        <x:f>MONTH(D669)</x:f>
        <x:v>7</x:v>
      </x:c>
      <x:c r="J669" s="22" t="n">
        <x:f>YEAR(D669)</x:f>
        <x:v>2022</x:v>
      </x:c>
      <x:c r="K669" t="str">
        <x:f>IF(F669&gt;200,"Large Order","Standard Order")</x:f>
        <x:v>Standard Order</x:v>
      </x:c>
    </x:row>
    <x:row r="670">
      <x:c r="A670" t="str">
        <x:v>Gunar Cockshoot</x:v>
      </x:c>
      <x:c r="B670" t="str">
        <x:v>UK</x:v>
      </x:c>
      <x:c r="C670" t="str">
        <x:v>Raspberry Choco</x:v>
      </x:c>
      <x:c r="D670" s="14" t="n">
        <x:v>44784</x:v>
      </x:c>
      <x:c r="E670" s="16" t="n">
        <x:v>6811</x:v>
      </x:c>
      <x:c r="F670" s="18" t="n">
        <x:v>344</x:v>
      </x:c>
      <x:c r="G670" s="20" t="n">
        <x:f>IFERROR(E670/F670,0)</x:f>
        <x:v>19.799418604651162</x:v>
      </x:c>
      <x:c r="H670" t="str">
        <x:f>TEXT(D670,"mmm")</x:f>
        <x:v>Aug</x:v>
      </x:c>
      <x:c r="I670" s="22" t="n">
        <x:f>MONTH(D670)</x:f>
        <x:v>8</x:v>
      </x:c>
      <x:c r="J670" s="22" t="n">
        <x:f>YEAR(D670)</x:f>
        <x:v>2022</x:v>
      </x:c>
      <x:c r="K670" t="str">
        <x:f>IF(F670&gt;200,"Large Order","Standard Order")</x:f>
        <x:v>Large Order</x:v>
      </x:c>
    </x:row>
    <x:row r="671">
      <x:c r="A671" t="str">
        <x:v>Husein Augar</x:v>
      </x:c>
      <x:c r="B671" t="str">
        <x:v>New Zealand</x:v>
      </x:c>
      <x:c r="C671" t="str">
        <x:v>After Nines</x:v>
      </x:c>
      <x:c r="D671" s="14" t="n">
        <x:v>44777</x:v>
      </x:c>
      <x:c r="E671" s="16" t="n">
        <x:v>6433</x:v>
      </x:c>
      <x:c r="F671" s="18" t="n">
        <x:v>7</x:v>
      </x:c>
      <x:c r="G671" s="20" t="n">
        <x:f>IFERROR(E671/F671,0)</x:f>
        <x:v>919</x:v>
      </x:c>
      <x:c r="H671" t="str">
        <x:f>TEXT(D671,"mmm")</x:f>
        <x:v>Aug</x:v>
      </x:c>
      <x:c r="I671" s="22" t="n">
        <x:f>MONTH(D671)</x:f>
        <x:v>8</x:v>
      </x:c>
      <x:c r="J671" s="22" t="n">
        <x:f>YEAR(D671)</x:f>
        <x:v>2022</x:v>
      </x:c>
      <x:c r="K671" t="str">
        <x:f>IF(F671&gt;200,"Large Order","Standard Order")</x:f>
        <x:v>Standard Order</x:v>
      </x:c>
    </x:row>
    <x:row r="672">
      <x:c r="A672" t="str">
        <x:v>Andria Kimpton</x:v>
      </x:c>
      <x:c r="B672" t="str">
        <x:v>New Zealand</x:v>
      </x:c>
      <x:c r="C672" t="str">
        <x:v>Orange Choco</x:v>
      </x:c>
      <x:c r="D672" s="14" t="n">
        <x:v>44726</x:v>
      </x:c>
      <x:c r="E672" s="16" t="n">
        <x:v>8169</x:v>
      </x:c>
      <x:c r="F672" s="18" t="n">
        <x:v>88</x:v>
      </x:c>
      <x:c r="G672" s="20" t="n">
        <x:f>IFERROR(E672/F672,0)</x:f>
        <x:v>92.82954545454545</x:v>
      </x:c>
      <x:c r="H672" t="str">
        <x:f>TEXT(D672,"mmm")</x:f>
        <x:v>Jun</x:v>
      </x:c>
      <x:c r="I672" s="22" t="n">
        <x:f>MONTH(D672)</x:f>
        <x:v>6</x:v>
      </x:c>
      <x:c r="J672" s="22" t="n">
        <x:f>YEAR(D672)</x:f>
        <x:v>2022</x:v>
      </x:c>
      <x:c r="K672" t="str">
        <x:f>IF(F672&gt;200,"Large Order","Standard Order")</x:f>
        <x:v>Standard Order</x:v>
      </x:c>
    </x:row>
    <x:row r="673">
      <x:c r="A673" t="str">
        <x:v>Dennison Crosswaite</x:v>
      </x:c>
      <x:c r="B673" t="str">
        <x:v>UK</x:v>
      </x:c>
      <x:c r="C673" t="str">
        <x:v>Baker's Choco Chips</x:v>
      </x:c>
      <x:c r="D673" s="14" t="n">
        <x:v>44578</x:v>
      </x:c>
      <x:c r="E673" s="16" t="n">
        <x:v>2275</x:v>
      </x:c>
      <x:c r="F673" s="18" t="n">
        <x:v>275</x:v>
      </x:c>
      <x:c r="G673" s="20" t="n">
        <x:f>IFERROR(E673/F673,0)</x:f>
        <x:v>8.272727272727273</x:v>
      </x:c>
      <x:c r="H673" t="str">
        <x:f>TEXT(D673,"mmm")</x:f>
        <x:v>Jan</x:v>
      </x:c>
      <x:c r="I673" s="22" t="n">
        <x:f>MONTH(D673)</x:f>
        <x:v>1</x:v>
      </x:c>
      <x:c r="J673" s="22" t="n">
        <x:f>YEAR(D673)</x:f>
        <x:v>2022</x:v>
      </x:c>
      <x:c r="K673" t="str">
        <x:f>IF(F673&gt;200,"Large Order","Standard Order")</x:f>
        <x:v>Large Order</x:v>
      </x:c>
    </x:row>
    <x:row r="674">
      <x:c r="A674" t="str">
        <x:v>Jehu Rudeforth</x:v>
      </x:c>
      <x:c r="B674" t="str">
        <x:v>Canada</x:v>
      </x:c>
      <x:c r="C674" t="str">
        <x:v>Orange Choco</x:v>
      </x:c>
      <x:c r="D674" s="14" t="n">
        <x:v>44735</x:v>
      </x:c>
      <x:c r="E674" s="16" t="n">
        <x:v>3857</x:v>
      </x:c>
      <x:c r="F674" s="18" t="n">
        <x:v>512</x:v>
      </x:c>
      <x:c r="G674" s="20" t="n">
        <x:f>IFERROR(E674/F674,0)</x:f>
        <x:v>7.533203125</x:v>
      </x:c>
      <x:c r="H674" t="str">
        <x:f>TEXT(D674,"mmm")</x:f>
        <x:v>Jun</x:v>
      </x:c>
      <x:c r="I674" s="22" t="n">
        <x:f>MONTH(D674)</x:f>
        <x:v>6</x:v>
      </x:c>
      <x:c r="J674" s="22" t="n">
        <x:f>YEAR(D674)</x:f>
        <x:v>2022</x:v>
      </x:c>
      <x:c r="K674" t="str">
        <x:f>IF(F674&gt;200,"Large Order","Standard Order")</x:f>
        <x:v>Large Order</x:v>
      </x:c>
    </x:row>
    <x:row r="675">
      <x:c r="A675" t="str">
        <x:v>Jehu Rudeforth</x:v>
      </x:c>
      <x:c r="B675" t="str">
        <x:v>UK</x:v>
      </x:c>
      <x:c r="C675" t="str">
        <x:v>Smooth Silky Salty</x:v>
      </x:c>
      <x:c r="D675" s="14" t="n">
        <x:v>44797</x:v>
      </x:c>
      <x:c r="E675" s="16" t="n">
        <x:v>1463</x:v>
      </x:c>
      <x:c r="F675" s="18" t="n">
        <x:v>113</x:v>
      </x:c>
      <x:c r="G675" s="20" t="n">
        <x:f>IFERROR(E675/F675,0)</x:f>
        <x:v>12.946902654867257</x:v>
      </x:c>
      <x:c r="H675" t="str">
        <x:f>TEXT(D675,"mmm")</x:f>
        <x:v>Aug</x:v>
      </x:c>
      <x:c r="I675" s="22" t="n">
        <x:f>MONTH(D675)</x:f>
        <x:v>8</x:v>
      </x:c>
      <x:c r="J675" s="22" t="n">
        <x:f>YEAR(D675)</x:f>
        <x:v>2022</x:v>
      </x:c>
      <x:c r="K675" t="str">
        <x:f>IF(F675&gt;200,"Large Order","Standard Order")</x:f>
        <x:v>Standard Order</x:v>
      </x:c>
    </x:row>
    <x:row r="676">
      <x:c r="A676" t="str">
        <x:v>Andria Kimpton</x:v>
      </x:c>
      <x:c r="B676" t="str">
        <x:v>UK</x:v>
      </x:c>
      <x:c r="C676" t="str">
        <x:v>Caramel Stuffed Bars</x:v>
      </x:c>
      <x:c r="D676" s="14" t="n">
        <x:v>44719</x:v>
      </x:c>
      <x:c r="E676" s="16" t="n">
        <x:v>7924</x:v>
      </x:c>
      <x:c r="F676" s="18" t="n">
        <x:v>275</x:v>
      </x:c>
      <x:c r="G676" s="20" t="n">
        <x:f>IFERROR(E676/F676,0)</x:f>
        <x:v>28.814545454545456</x:v>
      </x:c>
      <x:c r="H676" t="str">
        <x:f>TEXT(D676,"mmm")</x:f>
        <x:v>Jun</x:v>
      </x:c>
      <x:c r="I676" s="22" t="n">
        <x:f>MONTH(D676)</x:f>
        <x:v>6</x:v>
      </x:c>
      <x:c r="J676" s="22" t="n">
        <x:f>YEAR(D676)</x:f>
        <x:v>2022</x:v>
      </x:c>
      <x:c r="K676" t="str">
        <x:f>IF(F676&gt;200,"Large Order","Standard Order")</x:f>
        <x:v>Large Order</x:v>
      </x:c>
    </x:row>
    <x:row r="677">
      <x:c r="A677" t="str">
        <x:v>Jan Morforth</x:v>
      </x:c>
      <x:c r="B677" t="str">
        <x:v>UK</x:v>
      </x:c>
      <x:c r="C677" t="str">
        <x:v>White Choc</x:v>
      </x:c>
      <x:c r="D677" s="14" t="n">
        <x:v>44734</x:v>
      </x:c>
      <x:c r="E677" s="16" t="n">
        <x:v>8799</x:v>
      </x:c>
      <x:c r="F677" s="18" t="n">
        <x:v>47</x:v>
      </x:c>
      <x:c r="G677" s="20" t="n">
        <x:f>IFERROR(E677/F677,0)</x:f>
        <x:v>187.2127659574468</x:v>
      </x:c>
      <x:c r="H677" t="str">
        <x:f>TEXT(D677,"mmm")</x:f>
        <x:v>Jun</x:v>
      </x:c>
      <x:c r="I677" s="22" t="n">
        <x:f>MONTH(D677)</x:f>
        <x:v>6</x:v>
      </x:c>
      <x:c r="J677" s="22" t="n">
        <x:f>YEAR(D677)</x:f>
        <x:v>2022</x:v>
      </x:c>
      <x:c r="K677" t="str">
        <x:f>IF(F677&gt;200,"Large Order","Standard Order")</x:f>
        <x:v>Standard Order</x:v>
      </x:c>
    </x:row>
    <x:row r="678">
      <x:c r="A678" t="str">
        <x:v>Dotty Strutley</x:v>
      </x:c>
      <x:c r="B678" t="str">
        <x:v>USA</x:v>
      </x:c>
      <x:c r="C678" t="str">
        <x:v>Fruit &amp; Nut Bars</x:v>
      </x:c>
      <x:c r="D678" s="14" t="n">
        <x:v>44755</x:v>
      </x:c>
      <x:c r="E678" s="16" t="n">
        <x:v>2898</x:v>
      </x:c>
      <x:c r="F678" s="18" t="n">
        <x:v>276</x:v>
      </x:c>
      <x:c r="G678" s="20" t="n">
        <x:f>IFERROR(E678/F678,0)</x:f>
        <x:v>10.5</x:v>
      </x:c>
      <x:c r="H678" t="str">
        <x:f>TEXT(D678,"mmm")</x:f>
        <x:v>Jul</x:v>
      </x:c>
      <x:c r="I678" s="22" t="n">
        <x:f>MONTH(D678)</x:f>
        <x:v>7</x:v>
      </x:c>
      <x:c r="J678" s="22" t="n">
        <x:f>YEAR(D678)</x:f>
        <x:v>2022</x:v>
      </x:c>
      <x:c r="K678" t="str">
        <x:f>IF(F678&gt;200,"Large Order","Standard Order")</x:f>
        <x:v>Large Order</x:v>
      </x:c>
    </x:row>
    <x:row r="679">
      <x:c r="A679" t="str">
        <x:v>Kelci Walkden</x:v>
      </x:c>
      <x:c r="B679" t="str">
        <x:v>UK</x:v>
      </x:c>
      <x:c r="C679" t="str">
        <x:v>Choco Coated Almonds</x:v>
      </x:c>
      <x:c r="D679" s="14" t="n">
        <x:v>44705</x:v>
      </x:c>
      <x:c r="E679" s="16" t="n">
        <x:v>9506</x:v>
      </x:c>
      <x:c r="F679" s="18" t="n">
        <x:v>212</x:v>
      </x:c>
      <x:c r="G679" s="20" t="n">
        <x:f>IFERROR(E679/F679,0)</x:f>
        <x:v>44.839622641509436</x:v>
      </x:c>
      <x:c r="H679" t="str">
        <x:f>TEXT(D679,"mmm")</x:f>
        <x:v>May</x:v>
      </x:c>
      <x:c r="I679" s="22" t="n">
        <x:f>MONTH(D679)</x:f>
        <x:v>5</x:v>
      </x:c>
      <x:c r="J679" s="22" t="n">
        <x:f>YEAR(D679)</x:f>
        <x:v>2022</x:v>
      </x:c>
      <x:c r="K679" t="str">
        <x:f>IF(F679&gt;200,"Large Order","Standard Order")</x:f>
        <x:v>Large Order</x:v>
      </x:c>
    </x:row>
    <x:row r="680">
      <x:c r="A680" t="str">
        <x:v>Gunar Cockshoot</x:v>
      </x:c>
      <x:c r="B680" t="str">
        <x:v>New Zealand</x:v>
      </x:c>
      <x:c r="C680" t="str">
        <x:v>After Nines</x:v>
      </x:c>
      <x:c r="D680" s="14" t="n">
        <x:v>44782</x:v>
      </x:c>
      <x:c r="E680" s="16" t="n">
        <x:v>7175</x:v>
      </x:c>
      <x:c r="F680" s="18" t="n">
        <x:v>145</x:v>
      </x:c>
      <x:c r="G680" s="20" t="n">
        <x:f>IFERROR(E680/F680,0)</x:f>
        <x:v>49.48275862068966</x:v>
      </x:c>
      <x:c r="H680" t="str">
        <x:f>TEXT(D680,"mmm")</x:f>
        <x:v>Aug</x:v>
      </x:c>
      <x:c r="I680" s="22" t="n">
        <x:f>MONTH(D680)</x:f>
        <x:v>8</x:v>
      </x:c>
      <x:c r="J680" s="22" t="n">
        <x:f>YEAR(D680)</x:f>
        <x:v>2022</x:v>
      </x:c>
      <x:c r="K680" t="str">
        <x:f>IF(F680&gt;200,"Large Order","Standard Order")</x:f>
        <x:v>Standard Order</x:v>
      </x:c>
    </x:row>
    <x:row r="681">
      <x:c r="A681" t="str">
        <x:v>Kaine Padly</x:v>
      </x:c>
      <x:c r="B681" t="str">
        <x:v>Canada</x:v>
      </x:c>
      <x:c r="C681" t="str">
        <x:v>85% Dark Bars</x:v>
      </x:c>
      <x:c r="D681" s="14" t="n">
        <x:v>44657</x:v>
      </x:c>
      <x:c r="E681" s="16" t="n">
        <x:v>1729</x:v>
      </x:c>
      <x:c r="F681" s="18" t="n">
        <x:v>31</x:v>
      </x:c>
      <x:c r="G681" s="20" t="n">
        <x:f>IFERROR(E681/F681,0)</x:f>
        <x:v>55.774193548387096</x:v>
      </x:c>
      <x:c r="H681" t="str">
        <x:f>TEXT(D681,"mmm")</x:f>
        <x:v>Apr</x:v>
      </x:c>
      <x:c r="I681" s="22" t="n">
        <x:f>MONTH(D681)</x:f>
        <x:v>4</x:v>
      </x:c>
      <x:c r="J681" s="22" t="n">
        <x:f>YEAR(D681)</x:f>
        <x:v>2022</x:v>
      </x:c>
      <x:c r="K681" t="str">
        <x:f>IF(F681&gt;200,"Large Order","Standard Order")</x:f>
        <x:v>Standard Order</x:v>
      </x:c>
    </x:row>
    <x:row r="682">
      <x:c r="A682" t="str">
        <x:v>Jan Morforth</x:v>
      </x:c>
      <x:c r="B682" t="str">
        <x:v>New Zealand</x:v>
      </x:c>
      <x:c r="C682" t="str">
        <x:v>Manuka Honey Choco</x:v>
      </x:c>
      <x:c r="D682" s="14" t="n">
        <x:v>44770</x:v>
      </x:c>
      <x:c r="E682" s="16" t="n">
        <x:v>1589</x:v>
      </x:c>
      <x:c r="F682" s="18" t="n">
        <x:v>271</x:v>
      </x:c>
      <x:c r="G682" s="20" t="n">
        <x:f>IFERROR(E682/F682,0)</x:f>
        <x:v>5.863468634686347</x:v>
      </x:c>
      <x:c r="H682" t="str">
        <x:f>TEXT(D682,"mmm")</x:f>
        <x:v>Jul</x:v>
      </x:c>
      <x:c r="I682" s="22" t="n">
        <x:f>MONTH(D682)</x:f>
        <x:v>7</x:v>
      </x:c>
      <x:c r="J682" s="22" t="n">
        <x:f>YEAR(D682)</x:f>
        <x:v>2022</x:v>
      </x:c>
      <x:c r="K682" t="str">
        <x:f>IF(F682&gt;200,"Large Order","Standard Order")</x:f>
        <x:v>Large Order</x:v>
      </x:c>
    </x:row>
    <x:row r="683">
      <x:c r="A683" t="str">
        <x:v>Gunar Cockshoot</x:v>
      </x:c>
      <x:c r="B683" t="str">
        <x:v>New Zealand</x:v>
      </x:c>
      <x:c r="C683" t="str">
        <x:v>Raspberry Choco</x:v>
      </x:c>
      <x:c r="D683" s="14" t="n">
        <x:v>44797</x:v>
      </x:c>
      <x:c r="E683" s="16" t="n">
        <x:v>630</x:v>
      </x:c>
      <x:c r="F683" s="18" t="n">
        <x:v>52</x:v>
      </x:c>
      <x:c r="G683" s="20" t="n">
        <x:f>IFERROR(E683/F683,0)</x:f>
        <x:v>12.115384615384615</x:v>
      </x:c>
      <x:c r="H683" t="str">
        <x:f>TEXT(D683,"mmm")</x:f>
        <x:v>Aug</x:v>
      </x:c>
      <x:c r="I683" s="22" t="n">
        <x:f>MONTH(D683)</x:f>
        <x:v>8</x:v>
      </x:c>
      <x:c r="J683" s="22" t="n">
        <x:f>YEAR(D683)</x:f>
        <x:v>2022</x:v>
      </x:c>
      <x:c r="K683" t="str">
        <x:f>IF(F683&gt;200,"Large Order","Standard Order")</x:f>
        <x:v>Standard Order</x:v>
      </x:c>
    </x:row>
    <x:row r="684">
      <x:c r="A684" t="str">
        <x:v>Van Tuxwell</x:v>
      </x:c>
      <x:c r="B684" t="str">
        <x:v>Australia</x:v>
      </x:c>
      <x:c r="C684" t="str">
        <x:v>99% Dark &amp; Pure</x:v>
      </x:c>
      <x:c r="D684" s="14" t="n">
        <x:v>44578</x:v>
      </x:c>
      <x:c r="E684" s="16" t="n">
        <x:v>112</x:v>
      </x:c>
      <x:c r="F684" s="18" t="n">
        <x:v>128</x:v>
      </x:c>
      <x:c r="G684" s="20" t="n">
        <x:f>IFERROR(E684/F684,0)</x:f>
        <x:v>0.875</x:v>
      </x:c>
      <x:c r="H684" t="str">
        <x:f>TEXT(D684,"mmm")</x:f>
        <x:v>Jan</x:v>
      </x:c>
      <x:c r="I684" s="22" t="n">
        <x:f>MONTH(D684)</x:f>
        <x:v>1</x:v>
      </x:c>
      <x:c r="J684" s="22" t="n">
        <x:f>YEAR(D684)</x:f>
        <x:v>2022</x:v>
      </x:c>
      <x:c r="K684" t="str">
        <x:f>IF(F684&gt;200,"Large Order","Standard Order")</x:f>
        <x:v>Standard Order</x:v>
      </x:c>
    </x:row>
    <x:row r="685">
      <x:c r="A685" t="str">
        <x:v>Curtice Advani</x:v>
      </x:c>
      <x:c r="B685" t="str">
        <x:v>USA</x:v>
      </x:c>
      <x:c r="C685" t="str">
        <x:v>Drinking Coco</x:v>
      </x:c>
      <x:c r="D685" s="14" t="n">
        <x:v>44599</x:v>
      </x:c>
      <x:c r="E685" s="16" t="n">
        <x:v>5187</x:v>
      </x:c>
      <x:c r="F685" s="18" t="n">
        <x:v>142</x:v>
      </x:c>
      <x:c r="G685" s="20" t="n">
        <x:f>IFERROR(E685/F685,0)</x:f>
        <x:v>36.528169014084504</x:v>
      </x:c>
      <x:c r="H685" t="str">
        <x:f>TEXT(D685,"mmm")</x:f>
        <x:v>Feb</x:v>
      </x:c>
      <x:c r="I685" s="22" t="n">
        <x:f>MONTH(D685)</x:f>
        <x:v>2</x:v>
      </x:c>
      <x:c r="J685" s="22" t="n">
        <x:f>YEAR(D685)</x:f>
        <x:v>2022</x:v>
      </x:c>
      <x:c r="K685" t="str">
        <x:f>IF(F685&gt;200,"Large Order","Standard Order")</x:f>
        <x:v>Standard Order</x:v>
      </x:c>
    </x:row>
    <x:row r="686">
      <x:c r="A686" t="str">
        <x:v>Brien Boise</x:v>
      </x:c>
      <x:c r="B686" t="str">
        <x:v>Australia</x:v>
      </x:c>
      <x:c r="C686" t="str">
        <x:v>Spicy Special Slims</x:v>
      </x:c>
      <x:c r="D686" s="14" t="n">
        <x:v>44690</x:v>
      </x:c>
      <x:c r="E686" s="16" t="n">
        <x:v>6223</x:v>
      </x:c>
      <x:c r="F686" s="18" t="n">
        <x:v>256</x:v>
      </x:c>
      <x:c r="G686" s="20" t="n">
        <x:f>IFERROR(E686/F686,0)</x:f>
        <x:v>24.30859375</x:v>
      </x:c>
      <x:c r="H686" t="str">
        <x:f>TEXT(D686,"mmm")</x:f>
        <x:v>May</x:v>
      </x:c>
      <x:c r="I686" s="22" t="n">
        <x:f>MONTH(D686)</x:f>
        <x:v>5</x:v>
      </x:c>
      <x:c r="J686" s="22" t="n">
        <x:f>YEAR(D686)</x:f>
        <x:v>2022</x:v>
      </x:c>
      <x:c r="K686" t="str">
        <x:f>IF(F686&gt;200,"Large Order","Standard Order")</x:f>
        <x:v>Large Order</x:v>
      </x:c>
    </x:row>
    <x:row r="687">
      <x:c r="A687" t="str">
        <x:v>Mallorie Waber</x:v>
      </x:c>
      <x:c r="B687" t="str">
        <x:v>New Zealand</x:v>
      </x:c>
      <x:c r="C687" t="str">
        <x:v>85% Dark Bars</x:v>
      </x:c>
      <x:c r="D687" s="14" t="n">
        <x:v>44718</x:v>
      </x:c>
      <x:c r="E687" s="16" t="n">
        <x:v>7714</x:v>
      </x:c>
      <x:c r="F687" s="18" t="n">
        <x:v>106</x:v>
      </x:c>
      <x:c r="G687" s="20" t="n">
        <x:f>IFERROR(E687/F687,0)</x:f>
        <x:v>72.77358490566037</x:v>
      </x:c>
      <x:c r="H687" t="str">
        <x:f>TEXT(D687,"mmm")</x:f>
        <x:v>Jun</x:v>
      </x:c>
      <x:c r="I687" s="22" t="n">
        <x:f>MONTH(D687)</x:f>
        <x:v>6</x:v>
      </x:c>
      <x:c r="J687" s="22" t="n">
        <x:f>YEAR(D687)</x:f>
        <x:v>2022</x:v>
      </x:c>
      <x:c r="K687" t="str">
        <x:f>IF(F687&gt;200,"Large Order","Standard Order")</x:f>
        <x:v>Standard Order</x:v>
      </x:c>
    </x:row>
    <x:row r="688">
      <x:c r="A688" t="str">
        <x:v>Wilone O'Kielt</x:v>
      </x:c>
      <x:c r="B688" t="str">
        <x:v>USA</x:v>
      </x:c>
      <x:c r="C688" t="str">
        <x:v>Choco Coated Almonds</x:v>
      </x:c>
      <x:c r="D688" s="14" t="n">
        <x:v>44718</x:v>
      </x:c>
      <x:c r="E688" s="16" t="n">
        <x:v>9457</x:v>
      </x:c>
      <x:c r="F688" s="18" t="n">
        <x:v>6</x:v>
      </x:c>
      <x:c r="G688" s="20" t="n">
        <x:f>IFERROR(E688/F688,0)</x:f>
        <x:v>1576.1666666666667</x:v>
      </x:c>
      <x:c r="H688" t="str">
        <x:f>TEXT(D688,"mmm")</x:f>
        <x:v>Jun</x:v>
      </x:c>
      <x:c r="I688" s="22" t="n">
        <x:f>MONTH(D688)</x:f>
        <x:v>6</x:v>
      </x:c>
      <x:c r="J688" s="22" t="n">
        <x:f>YEAR(D688)</x:f>
        <x:v>2022</x:v>
      </x:c>
      <x:c r="K688" t="str">
        <x:f>IF(F688&gt;200,"Large Order","Standard Order")</x:f>
        <x:v>Standard Order</x:v>
      </x:c>
    </x:row>
    <x:row r="689">
      <x:c r="A689" t="str">
        <x:v>Beverie Moffet</x:v>
      </x:c>
      <x:c r="B689" t="str">
        <x:v>New Zealand</x:v>
      </x:c>
      <x:c r="C689" t="str">
        <x:v>Organic Choco Syrup</x:v>
      </x:c>
      <x:c r="D689" s="14" t="n">
        <x:v>44705</x:v>
      </x:c>
      <x:c r="E689" s="16" t="n">
        <x:v>6678</x:v>
      </x:c>
      <x:c r="F689" s="18" t="n">
        <x:v>226</x:v>
      </x:c>
      <x:c r="G689" s="20" t="n">
        <x:f>IFERROR(E689/F689,0)</x:f>
        <x:v>29.548672566371682</x:v>
      </x:c>
      <x:c r="H689" t="str">
        <x:f>TEXT(D689,"mmm")</x:f>
        <x:v>May</x:v>
      </x:c>
      <x:c r="I689" s="22" t="n">
        <x:f>MONTH(D689)</x:f>
        <x:v>5</x:v>
      </x:c>
      <x:c r="J689" s="22" t="n">
        <x:f>YEAR(D689)</x:f>
        <x:v>2022</x:v>
      </x:c>
      <x:c r="K689" t="str">
        <x:f>IF(F689&gt;200,"Large Order","Standard Order")</x:f>
        <x:v>Large Order</x:v>
      </x:c>
    </x:row>
    <x:row r="690">
      <x:c r="A690" t="str">
        <x:v>Gunar Cockshoot</x:v>
      </x:c>
      <x:c r="B690" t="str">
        <x:v>UK</x:v>
      </x:c>
      <x:c r="C690" t="str">
        <x:v>50% Dark Bites</x:v>
      </x:c>
      <x:c r="D690" s="14" t="n">
        <x:v>44574</x:v>
      </x:c>
      <x:c r="E690" s="16" t="n">
        <x:v>2107</x:v>
      </x:c>
      <x:c r="F690" s="18" t="n">
        <x:v>121</x:v>
      </x:c>
      <x:c r="G690" s="20" t="n">
        <x:f>IFERROR(E690/F690,0)</x:f>
        <x:v>17.41322314049587</x:v>
      </x:c>
      <x:c r="H690" t="str">
        <x:f>TEXT(D690,"mmm")</x:f>
        <x:v>Jan</x:v>
      </x:c>
      <x:c r="I690" s="22" t="n">
        <x:f>MONTH(D690)</x:f>
        <x:v>1</x:v>
      </x:c>
      <x:c r="J690" s="22" t="n">
        <x:f>YEAR(D690)</x:f>
        <x:v>2022</x:v>
      </x:c>
      <x:c r="K690" t="str">
        <x:f>IF(F690&gt;200,"Large Order","Standard Order")</x:f>
        <x:v>Standard Order</x:v>
      </x:c>
    </x:row>
    <x:row r="691">
      <x:c r="A691" t="str">
        <x:v>Marney O'Breen</x:v>
      </x:c>
      <x:c r="B691" t="str">
        <x:v>USA</x:v>
      </x:c>
      <x:c r="C691" t="str">
        <x:v>Raspberry Choco</x:v>
      </x:c>
      <x:c r="D691" s="14" t="n">
        <x:v>44704</x:v>
      </x:c>
      <x:c r="E691" s="16" t="n">
        <x:v>6069</x:v>
      </x:c>
      <x:c r="F691" s="18" t="n">
        <x:v>151</x:v>
      </x:c>
      <x:c r="G691" s="20" t="n">
        <x:f>IFERROR(E691/F691,0)</x:f>
        <x:v>40.19205298013245</x:v>
      </x:c>
      <x:c r="H691" t="str">
        <x:f>TEXT(D691,"mmm")</x:f>
        <x:v>May</x:v>
      </x:c>
      <x:c r="I691" s="22" t="n">
        <x:f>MONTH(D691)</x:f>
        <x:v>5</x:v>
      </x:c>
      <x:c r="J691" s="22" t="n">
        <x:f>YEAR(D691)</x:f>
        <x:v>2022</x:v>
      </x:c>
      <x:c r="K691" t="str">
        <x:f>IF(F691&gt;200,"Large Order","Standard Order")</x:f>
        <x:v>Standard Order</x:v>
      </x:c>
    </x:row>
    <x:row r="692">
      <x:c r="A692" t="str">
        <x:v>Jehu Rudeforth</x:v>
      </x:c>
      <x:c r="B692" t="str">
        <x:v>UK</x:v>
      </x:c>
      <x:c r="C692" t="str">
        <x:v>White Choc</x:v>
      </x:c>
      <x:c r="D692" s="14" t="n">
        <x:v>44741</x:v>
      </x:c>
      <x:c r="E692" s="16" t="n">
        <x:v>1862</x:v>
      </x:c>
      <x:c r="F692" s="18" t="n">
        <x:v>284</x:v>
      </x:c>
      <x:c r="G692" s="20" t="n">
        <x:f>IFERROR(E692/F692,0)</x:f>
        <x:v>6.556338028169014</x:v>
      </x:c>
      <x:c r="H692" t="str">
        <x:f>TEXT(D692,"mmm")</x:f>
        <x:v>Jun</x:v>
      </x:c>
      <x:c r="I692" s="22" t="n">
        <x:f>MONTH(D692)</x:f>
        <x:v>6</x:v>
      </x:c>
      <x:c r="J692" s="22" t="n">
        <x:f>YEAR(D692)</x:f>
        <x:v>2022</x:v>
      </x:c>
      <x:c r="K692" t="str">
        <x:f>IF(F692&gt;200,"Large Order","Standard Order")</x:f>
        <x:v>Large Order</x:v>
      </x:c>
    </x:row>
    <x:row r="693">
      <x:c r="A693" t="str">
        <x:v>Jehu Rudeforth</x:v>
      </x:c>
      <x:c r="B693" t="str">
        <x:v>New Zealand</x:v>
      </x:c>
      <x:c r="C693" t="str">
        <x:v>85% Dark Bars</x:v>
      </x:c>
      <x:c r="D693" s="14" t="n">
        <x:v>44631</x:v>
      </x:c>
      <x:c r="E693" s="16" t="n">
        <x:v>6972</x:v>
      </x:c>
      <x:c r="F693" s="18" t="n">
        <x:v>89</x:v>
      </x:c>
      <x:c r="G693" s="20" t="n">
        <x:f>IFERROR(E693/F693,0)</x:f>
        <x:v>78.33707865168539</x:v>
      </x:c>
      <x:c r="H693" t="str">
        <x:f>TEXT(D693,"mmm")</x:f>
        <x:v>Mar</x:v>
      </x:c>
      <x:c r="I693" s="22" t="n">
        <x:f>MONTH(D693)</x:f>
        <x:v>3</x:v>
      </x:c>
      <x:c r="J693" s="22" t="n">
        <x:f>YEAR(D693)</x:f>
        <x:v>2022</x:v>
      </x:c>
      <x:c r="K693" t="str">
        <x:f>IF(F693&gt;200,"Large Order","Standard Order")</x:f>
        <x:v>Standard Order</x:v>
      </x:c>
    </x:row>
    <x:row r="694">
      <x:c r="A694" t="str">
        <x:v>Dotty Strutley</x:v>
      </x:c>
      <x:c r="B694" t="str">
        <x:v>USA</x:v>
      </x:c>
      <x:c r="C694" t="str">
        <x:v>85% Dark Bars</x:v>
      </x:c>
      <x:c r="D694" s="14" t="n">
        <x:v>44676</x:v>
      </x:c>
      <x:c r="E694" s="16" t="n">
        <x:v>10220</x:v>
      </x:c>
      <x:c r="F694" s="18" t="n">
        <x:v>508</x:v>
      </x:c>
      <x:c r="G694" s="20" t="n">
        <x:f>IFERROR(E694/F694,0)</x:f>
        <x:v>20.118110236220474</x:v>
      </x:c>
      <x:c r="H694" t="str">
        <x:f>TEXT(D694,"mmm")</x:f>
        <x:v>Apr</x:v>
      </x:c>
      <x:c r="I694" s="22" t="n">
        <x:f>MONTH(D694)</x:f>
        <x:v>4</x:v>
      </x:c>
      <x:c r="J694" s="22" t="n">
        <x:f>YEAR(D694)</x:f>
        <x:v>2022</x:v>
      </x:c>
      <x:c r="K694" t="str">
        <x:f>IF(F694&gt;200,"Large Order","Standard Order")</x:f>
        <x:v>Large Order</x:v>
      </x:c>
    </x:row>
    <x:row r="695">
      <x:c r="A695" t="str">
        <x:v>Rafaelita Blaksland</x:v>
      </x:c>
      <x:c r="B695" t="str">
        <x:v>Australia</x:v>
      </x:c>
      <x:c r="C695" t="str">
        <x:v>Smooth Silky Salty</x:v>
      </x:c>
      <x:c r="D695" s="14" t="n">
        <x:v>44711</x:v>
      </x:c>
      <x:c r="E695" s="16" t="n">
        <x:v>3969</x:v>
      </x:c>
      <x:c r="F695" s="18" t="n">
        <x:v>243</x:v>
      </x:c>
      <x:c r="G695" s="20" t="n">
        <x:f>IFERROR(E695/F695,0)</x:f>
        <x:v>16.333333333333332</x:v>
      </x:c>
      <x:c r="H695" t="str">
        <x:f>TEXT(D695,"mmm")</x:f>
        <x:v>May</x:v>
      </x:c>
      <x:c r="I695" s="22" t="n">
        <x:f>MONTH(D695)</x:f>
        <x:v>5</x:v>
      </x:c>
      <x:c r="J695" s="22" t="n">
        <x:f>YEAR(D695)</x:f>
        <x:v>2022</x:v>
      </x:c>
      <x:c r="K695" t="str">
        <x:f>IF(F695&gt;200,"Large Order","Standard Order")</x:f>
        <x:v>Large Order</x:v>
      </x:c>
    </x:row>
    <x:row r="696">
      <x:c r="A696" t="str">
        <x:v>Curtice Advani</x:v>
      </x:c>
      <x:c r="B696" t="str">
        <x:v>India</x:v>
      </x:c>
      <x:c r="C696" t="str">
        <x:v>Manuka Honey Choco</x:v>
      </x:c>
      <x:c r="D696" s="14" t="n">
        <x:v>44704</x:v>
      </x:c>
      <x:c r="E696" s="16" t="n">
        <x:v>1547</x:v>
      </x:c>
      <x:c r="F696" s="18" t="n">
        <x:v>170</x:v>
      </x:c>
      <x:c r="G696" s="20" t="n">
        <x:f>IFERROR(E696/F696,0)</x:f>
        <x:v>9.1</x:v>
      </x:c>
      <x:c r="H696" t="str">
        <x:f>TEXT(D696,"mmm")</x:f>
        <x:v>May</x:v>
      </x:c>
      <x:c r="I696" s="22" t="n">
        <x:f>MONTH(D696)</x:f>
        <x:v>5</x:v>
      </x:c>
      <x:c r="J696" s="22" t="n">
        <x:f>YEAR(D696)</x:f>
        <x:v>2022</x:v>
      </x:c>
      <x:c r="K696" t="str">
        <x:f>IF(F696&gt;200,"Large Order","Standard Order")</x:f>
        <x:v>Standard Order</x:v>
      </x:c>
    </x:row>
    <x:row r="697">
      <x:c r="A697" t="str">
        <x:v>Mallorie Waber</x:v>
      </x:c>
      <x:c r="B697" t="str">
        <x:v>USA</x:v>
      </x:c>
      <x:c r="C697" t="str">
        <x:v>Peanut Butter Cubes</x:v>
      </x:c>
      <x:c r="D697" s="14" t="n">
        <x:v>44704</x:v>
      </x:c>
      <x:c r="E697" s="16" t="n">
        <x:v>1162</x:v>
      </x:c>
      <x:c r="F697" s="18" t="n">
        <x:v>18</x:v>
      </x:c>
      <x:c r="G697" s="20" t="n">
        <x:f>IFERROR(E697/F697,0)</x:f>
        <x:v>64.55555555555556</x:v>
      </x:c>
      <x:c r="H697" t="str">
        <x:f>TEXT(D697,"mmm")</x:f>
        <x:v>May</x:v>
      </x:c>
      <x:c r="I697" s="22" t="n">
        <x:f>MONTH(D697)</x:f>
        <x:v>5</x:v>
      </x:c>
      <x:c r="J697" s="22" t="n">
        <x:f>YEAR(D697)</x:f>
        <x:v>2022</x:v>
      </x:c>
      <x:c r="K697" t="str">
        <x:f>IF(F697&gt;200,"Large Order","Standard Order")</x:f>
        <x:v>Standard Order</x:v>
      </x:c>
    </x:row>
    <x:row r="698">
      <x:c r="A698" t="str">
        <x:v>Van Tuxwell</x:v>
      </x:c>
      <x:c r="B698" t="str">
        <x:v>Canada</x:v>
      </x:c>
      <x:c r="C698" t="str">
        <x:v>Peanut Butter Cubes</x:v>
      </x:c>
      <x:c r="D698" s="14" t="n">
        <x:v>44736</x:v>
      </x:c>
      <x:c r="E698" s="16" t="n">
        <x:v>6342</x:v>
      </x:c>
      <x:c r="F698" s="18" t="n">
        <x:v>282</x:v>
      </x:c>
      <x:c r="G698" s="20" t="n">
        <x:f>IFERROR(E698/F698,0)</x:f>
        <x:v>22.48936170212766</x:v>
      </x:c>
      <x:c r="H698" t="str">
        <x:f>TEXT(D698,"mmm")</x:f>
        <x:v>Jun</x:v>
      </x:c>
      <x:c r="I698" s="22" t="n">
        <x:f>MONTH(D698)</x:f>
        <x:v>6</x:v>
      </x:c>
      <x:c r="J698" s="22" t="n">
        <x:f>YEAR(D698)</x:f>
        <x:v>2022</x:v>
      </x:c>
      <x:c r="K698" t="str">
        <x:f>IF(F698&gt;200,"Large Order","Standard Order")</x:f>
        <x:v>Large Order</x:v>
      </x:c>
    </x:row>
    <x:row r="699">
      <x:c r="A699" t="str">
        <x:v>Kelci Walkden</x:v>
      </x:c>
      <x:c r="B699" t="str">
        <x:v>New Zealand</x:v>
      </x:c>
      <x:c r="C699" t="str">
        <x:v>Smooth Silky Salty</x:v>
      </x:c>
      <x:c r="D699" s="14" t="n">
        <x:v>44631</x:v>
      </x:c>
      <x:c r="E699" s="16" t="n">
        <x:v>10633</x:v>
      </x:c>
      <x:c r="F699" s="18" t="n">
        <x:v>277</x:v>
      </x:c>
      <x:c r="G699" s="20" t="n">
        <x:f>IFERROR(E699/F699,0)</x:f>
        <x:v>38.38628158844765</x:v>
      </x:c>
      <x:c r="H699" t="str">
        <x:f>TEXT(D699,"mmm")</x:f>
        <x:v>Mar</x:v>
      </x:c>
      <x:c r="I699" s="22" t="n">
        <x:f>MONTH(D699)</x:f>
        <x:v>3</x:v>
      </x:c>
      <x:c r="J699" s="22" t="n">
        <x:f>YEAR(D699)</x:f>
        <x:v>2022</x:v>
      </x:c>
      <x:c r="K699" t="str">
        <x:f>IF(F699&gt;200,"Large Order","Standard Order")</x:f>
        <x:v>Large Order</x:v>
      </x:c>
    </x:row>
    <x:row r="700">
      <x:c r="A700" t="str">
        <x:v>Rafaelita Blaksland</x:v>
      </x:c>
      <x:c r="B700" t="str">
        <x:v>USA</x:v>
      </x:c>
      <x:c r="C700" t="str">
        <x:v>Smooth Silky Salty</x:v>
      </x:c>
      <x:c r="D700" s="14" t="n">
        <x:v>44769</x:v>
      </x:c>
      <x:c r="E700" s="16" t="n">
        <x:v>15057</x:v>
      </x:c>
      <x:c r="F700" s="18" t="n">
        <x:v>212</x:v>
      </x:c>
      <x:c r="G700" s="20" t="n">
        <x:f>IFERROR(E700/F700,0)</x:f>
        <x:v>71.02358490566037</x:v>
      </x:c>
      <x:c r="H700" t="str">
        <x:f>TEXT(D700,"mmm")</x:f>
        <x:v>Jul</x:v>
      </x:c>
      <x:c r="I700" s="22" t="n">
        <x:f>MONTH(D700)</x:f>
        <x:v>7</x:v>
      </x:c>
      <x:c r="J700" s="22" t="n">
        <x:f>YEAR(D700)</x:f>
        <x:v>2022</x:v>
      </x:c>
      <x:c r="K700" t="str">
        <x:f>IF(F700&gt;200,"Large Order","Standard Order")</x:f>
        <x:v>Large Order</x:v>
      </x:c>
    </x:row>
    <x:row r="701">
      <x:c r="A701" t="str">
        <x:v>Rafaelita Blaksland</x:v>
      </x:c>
      <x:c r="B701" t="str">
        <x:v>USA</x:v>
      </x:c>
      <x:c r="C701" t="str">
        <x:v>White Choc</x:v>
      </x:c>
      <x:c r="D701" s="14" t="n">
        <x:v>44789</x:v>
      </x:c>
      <x:c r="E701" s="16" t="n">
        <x:v>4704</x:v>
      </x:c>
      <x:c r="F701" s="18" t="n">
        <x:v>126</x:v>
      </x:c>
      <x:c r="G701" s="20" t="n">
        <x:f>IFERROR(E701/F701,0)</x:f>
        <x:v>37.333333333333336</x:v>
      </x:c>
      <x:c r="H701" t="str">
        <x:f>TEXT(D701,"mmm")</x:f>
        <x:v>Aug</x:v>
      </x:c>
      <x:c r="I701" s="22" t="n">
        <x:f>MONTH(D701)</x:f>
        <x:v>8</x:v>
      </x:c>
      <x:c r="J701" s="22" t="n">
        <x:f>YEAR(D701)</x:f>
        <x:v>2022</x:v>
      </x:c>
      <x:c r="K701" t="str">
        <x:f>IF(F701&gt;200,"Large Order","Standard Order")</x:f>
        <x:v>Standard Order</x:v>
      </x:c>
    </x:row>
    <x:row r="702">
      <x:c r="A702" t="str">
        <x:v>Roddy Speechley</x:v>
      </x:c>
      <x:c r="B702" t="str">
        <x:v>Canada</x:v>
      </x:c>
      <x:c r="C702" t="str">
        <x:v>Smooth Silky Salty</x:v>
      </x:c>
      <x:c r="D702" s="14" t="n">
        <x:v>44627</x:v>
      </x:c>
      <x:c r="E702" s="16" t="n">
        <x:v>9338</x:v>
      </x:c>
      <x:c r="F702" s="18" t="n">
        <x:v>11</x:v>
      </x:c>
      <x:c r="G702" s="20" t="n">
        <x:f>IFERROR(E702/F702,0)</x:f>
        <x:v>848.9090909090909</x:v>
      </x:c>
      <x:c r="H702" t="str">
        <x:f>TEXT(D702,"mmm")</x:f>
        <x:v>Mar</x:v>
      </x:c>
      <x:c r="I702" s="22" t="n">
        <x:f>MONTH(D702)</x:f>
        <x:v>3</x:v>
      </x:c>
      <x:c r="J702" s="22" t="n">
        <x:f>YEAR(D702)</x:f>
        <x:v>2022</x:v>
      </x:c>
      <x:c r="K702" t="str">
        <x:f>IF(F702&gt;200,"Large Order","Standard Order")</x:f>
        <x:v>Standard Order</x:v>
      </x:c>
    </x:row>
    <x:row r="703">
      <x:c r="A703" t="str">
        <x:v>Curtice Advani</x:v>
      </x:c>
      <x:c r="B703" t="str">
        <x:v>New Zealand</x:v>
      </x:c>
      <x:c r="C703" t="str">
        <x:v>After Nines</x:v>
      </x:c>
      <x:c r="D703" s="14" t="n">
        <x:v>44656</x:v>
      </x:c>
      <x:c r="E703" s="16" t="n">
        <x:v>7959</x:v>
      </x:c>
      <x:c r="F703" s="18" t="n">
        <x:v>30</x:v>
      </x:c>
      <x:c r="G703" s="20" t="n">
        <x:f>IFERROR(E703/F703,0)</x:f>
        <x:v>265.3</x:v>
      </x:c>
      <x:c r="H703" t="str">
        <x:f>TEXT(D703,"mmm")</x:f>
        <x:v>Apr</x:v>
      </x:c>
      <x:c r="I703" s="22" t="n">
        <x:f>MONTH(D703)</x:f>
        <x:v>4</x:v>
      </x:c>
      <x:c r="J703" s="22" t="n">
        <x:f>YEAR(D703)</x:f>
        <x:v>2022</x:v>
      </x:c>
      <x:c r="K703" t="str">
        <x:f>IF(F703&gt;200,"Large Order","Standard Order")</x:f>
        <x:v>Standard Order</x:v>
      </x:c>
    </x:row>
    <x:row r="704">
      <x:c r="A704" t="str">
        <x:v>Camilla Castle</x:v>
      </x:c>
      <x:c r="B704" t="str">
        <x:v>India</x:v>
      </x:c>
      <x:c r="C704" t="str">
        <x:v>85% Dark Bars</x:v>
      </x:c>
      <x:c r="D704" s="14" t="n">
        <x:v>44685</x:v>
      </x:c>
      <x:c r="E704" s="16" t="n">
        <x:v>9023</x:v>
      </x:c>
      <x:c r="F704" s="18" t="n">
        <x:v>51</x:v>
      </x:c>
      <x:c r="G704" s="20" t="n">
        <x:f>IFERROR(E704/F704,0)</x:f>
        <x:v>176.92156862745097</x:v>
      </x:c>
      <x:c r="H704" t="str">
        <x:f>TEXT(D704,"mmm")</x:f>
        <x:v>May</x:v>
      </x:c>
      <x:c r="I704" s="22" t="n">
        <x:f>MONTH(D704)</x:f>
        <x:v>5</x:v>
      </x:c>
      <x:c r="J704" s="22" t="n">
        <x:f>YEAR(D704)</x:f>
        <x:v>2022</x:v>
      </x:c>
      <x:c r="K704" t="str">
        <x:f>IF(F704&gt;200,"Large Order","Standard Order")</x:f>
        <x:v>Standard Order</x:v>
      </x:c>
    </x:row>
    <x:row r="705">
      <x:c r="A705" t="str">
        <x:v>Ches Bonnell</x:v>
      </x:c>
      <x:c r="B705" t="str">
        <x:v>USA</x:v>
      </x:c>
      <x:c r="C705" t="str">
        <x:v>Choco Coated Almonds</x:v>
      </x:c>
      <x:c r="D705" s="14" t="n">
        <x:v>44565</x:v>
      </x:c>
      <x:c r="E705" s="16" t="n">
        <x:v>14525</x:v>
      </x:c>
      <x:c r="F705" s="18" t="n">
        <x:v>92</x:v>
      </x:c>
      <x:c r="G705" s="20" t="n">
        <x:f>IFERROR(E705/F705,0)</x:f>
        <x:v>157.8804347826087</x:v>
      </x:c>
      <x:c r="H705" t="str">
        <x:f>TEXT(D705,"mmm")</x:f>
        <x:v>Jan</x:v>
      </x:c>
      <x:c r="I705" s="22" t="n">
        <x:f>MONTH(D705)</x:f>
        <x:v>1</x:v>
      </x:c>
      <x:c r="J705" s="22" t="n">
        <x:f>YEAR(D705)</x:f>
        <x:v>2022</x:v>
      </x:c>
      <x:c r="K705" t="str">
        <x:f>IF(F705&gt;200,"Large Order","Standard Order")</x:f>
        <x:v>Standard Order</x:v>
      </x:c>
    </x:row>
    <x:row r="706">
      <x:c r="A706" t="str">
        <x:v>Marney O'Breen</x:v>
      </x:c>
      <x:c r="B706" t="str">
        <x:v>Australia</x:v>
      </x:c>
      <x:c r="C706" t="str">
        <x:v>Baker's Choco Chips</x:v>
      </x:c>
      <x:c r="D706" s="14" t="n">
        <x:v>44574</x:v>
      </x:c>
      <x:c r="E706" s="16" t="n">
        <x:v>5810</x:v>
      </x:c>
      <x:c r="F706" s="18" t="n">
        <x:v>101</x:v>
      </x:c>
      <x:c r="G706" s="20" t="n">
        <x:f>IFERROR(E706/F706,0)</x:f>
        <x:v>57.524752475247524</x:v>
      </x:c>
      <x:c r="H706" t="str">
        <x:f>TEXT(D706,"mmm")</x:f>
        <x:v>Jan</x:v>
      </x:c>
      <x:c r="I706" s="22" t="n">
        <x:f>MONTH(D706)</x:f>
        <x:v>1</x:v>
      </x:c>
      <x:c r="J706" s="22" t="n">
        <x:f>YEAR(D706)</x:f>
        <x:v>2022</x:v>
      </x:c>
      <x:c r="K706" t="str">
        <x:f>IF(F706&gt;200,"Large Order","Standard Order")</x:f>
        <x:v>Standard Order</x:v>
      </x:c>
    </x:row>
    <x:row r="707">
      <x:c r="A707" t="str">
        <x:v>Wilone O'Kielt</x:v>
      </x:c>
      <x:c r="B707" t="str">
        <x:v>New Zealand</x:v>
      </x:c>
      <x:c r="C707" t="str">
        <x:v>Fruit &amp; Nut Bars</x:v>
      </x:c>
      <x:c r="D707" s="14" t="n">
        <x:v>44753</x:v>
      </x:c>
      <x:c r="E707" s="16" t="n">
        <x:v>6426</x:v>
      </x:c>
      <x:c r="F707" s="18" t="n">
        <x:v>98</x:v>
      </x:c>
      <x:c r="G707" s="20" t="n">
        <x:f>IFERROR(E707/F707,0)</x:f>
        <x:v>65.57142857142857</x:v>
      </x:c>
      <x:c r="H707" t="str">
        <x:f>TEXT(D707,"mmm")</x:f>
        <x:v>Jul</x:v>
      </x:c>
      <x:c r="I707" s="22" t="n">
        <x:f>MONTH(D707)</x:f>
        <x:v>7</x:v>
      </x:c>
      <x:c r="J707" s="22" t="n">
        <x:f>YEAR(D707)</x:f>
        <x:v>2022</x:v>
      </x:c>
      <x:c r="K707" t="str">
        <x:f>IF(F707&gt;200,"Large Order","Standard Order")</x:f>
        <x:v>Standard Order</x:v>
      </x:c>
    </x:row>
    <x:row r="708">
      <x:c r="A708" t="str">
        <x:v>Kaine Padly</x:v>
      </x:c>
      <x:c r="B708" t="str">
        <x:v>Australia</x:v>
      </x:c>
      <x:c r="C708" t="str">
        <x:v>Mint Chip Choco</x:v>
      </x:c>
      <x:c r="D708" s="14" t="n">
        <x:v>44698</x:v>
      </x:c>
      <x:c r="E708" s="16" t="n">
        <x:v>4403</x:v>
      </x:c>
      <x:c r="F708" s="18" t="n">
        <x:v>159</x:v>
      </x:c>
      <x:c r="G708" s="20" t="n">
        <x:f>IFERROR(E708/F708,0)</x:f>
        <x:v>27.69182389937107</x:v>
      </x:c>
      <x:c r="H708" t="str">
        <x:f>TEXT(D708,"mmm")</x:f>
        <x:v>May</x:v>
      </x:c>
      <x:c r="I708" s="22" t="n">
        <x:f>MONTH(D708)</x:f>
        <x:v>5</x:v>
      </x:c>
      <x:c r="J708" s="22" t="n">
        <x:f>YEAR(D708)</x:f>
        <x:v>2022</x:v>
      </x:c>
      <x:c r="K708" t="str">
        <x:f>IF(F708&gt;200,"Large Order","Standard Order")</x:f>
        <x:v>Standard Order</x:v>
      </x:c>
    </x:row>
    <x:row r="709">
      <x:c r="A709" t="str">
        <x:v>Camilla Castle</x:v>
      </x:c>
      <x:c r="B709" t="str">
        <x:v>New Zealand</x:v>
      </x:c>
      <x:c r="C709" t="str">
        <x:v>Peanut Butter Cubes</x:v>
      </x:c>
      <x:c r="D709" s="14" t="n">
        <x:v>44763</x:v>
      </x:c>
      <x:c r="E709" s="16" t="n">
        <x:v>1582</x:v>
      </x:c>
      <x:c r="F709" s="18" t="n">
        <x:v>62</x:v>
      </x:c>
      <x:c r="G709" s="20" t="n">
        <x:f>IFERROR(E709/F709,0)</x:f>
        <x:v>25.516129032258064</x:v>
      </x:c>
      <x:c r="H709" t="str">
        <x:f>TEXT(D709,"mmm")</x:f>
        <x:v>Jul</x:v>
      </x:c>
      <x:c r="I709" s="22" t="n">
        <x:f>MONTH(D709)</x:f>
        <x:v>7</x:v>
      </x:c>
      <x:c r="J709" s="22" t="n">
        <x:f>YEAR(D709)</x:f>
        <x:v>2022</x:v>
      </x:c>
      <x:c r="K709" t="str">
        <x:f>IF(F709&gt;200,"Large Order","Standard Order")</x:f>
        <x:v>Standard Order</x:v>
      </x:c>
    </x:row>
    <x:row r="710">
      <x:c r="A710" t="str">
        <x:v>Curtice Advani</x:v>
      </x:c>
      <x:c r="B710" t="str">
        <x:v>Canada</x:v>
      </x:c>
      <x:c r="C710" t="str">
        <x:v>Organic Choco Syrup</x:v>
      </x:c>
      <x:c r="D710" s="14" t="n">
        <x:v>44614</x:v>
      </x:c>
      <x:c r="E710" s="16" t="n">
        <x:v>791</x:v>
      </x:c>
      <x:c r="F710" s="18" t="n">
        <x:v>22</x:v>
      </x:c>
      <x:c r="G710" s="20" t="n">
        <x:f>IFERROR(E710/F710,0)</x:f>
        <x:v>35.95454545454545</x:v>
      </x:c>
      <x:c r="H710" t="str">
        <x:f>TEXT(D710,"mmm")</x:f>
        <x:v>Feb</x:v>
      </x:c>
      <x:c r="I710" s="22" t="n">
        <x:f>MONTH(D710)</x:f>
        <x:v>2</x:v>
      </x:c>
      <x:c r="J710" s="22" t="n">
        <x:f>YEAR(D710)</x:f>
        <x:v>2022</x:v>
      </x:c>
      <x:c r="K710" t="str">
        <x:f>IF(F710&gt;200,"Large Order","Standard Order")</x:f>
        <x:v>Standard Order</x:v>
      </x:c>
    </x:row>
    <x:row r="711">
      <x:c r="A711" t="str">
        <x:v>Jan Morforth</x:v>
      </x:c>
      <x:c r="B711" t="str">
        <x:v>India</x:v>
      </x:c>
      <x:c r="C711" t="str">
        <x:v>99% Dark &amp; Pure</x:v>
      </x:c>
      <x:c r="D711" s="14" t="n">
        <x:v>44704</x:v>
      </x:c>
      <x:c r="E711" s="16" t="n">
        <x:v>9100</x:v>
      </x:c>
      <x:c r="F711" s="18" t="n">
        <x:v>187</x:v>
      </x:c>
      <x:c r="G711" s="20" t="n">
        <x:f>IFERROR(E711/F711,0)</x:f>
        <x:v>48.663101604278076</x:v>
      </x:c>
      <x:c r="H711" t="str">
        <x:f>TEXT(D711,"mmm")</x:f>
        <x:v>May</x:v>
      </x:c>
      <x:c r="I711" s="22" t="n">
        <x:f>MONTH(D711)</x:f>
        <x:v>5</x:v>
      </x:c>
      <x:c r="J711" s="22" t="n">
        <x:f>YEAR(D711)</x:f>
        <x:v>2022</x:v>
      </x:c>
      <x:c r="K711" t="str">
        <x:f>IF(F711&gt;200,"Large Order","Standard Order")</x:f>
        <x:v>Standard Order</x:v>
      </x:c>
    </x:row>
    <x:row r="712">
      <x:c r="A712" t="str">
        <x:v>Rafaelita Blaksland</x:v>
      </x:c>
      <x:c r="B712" t="str">
        <x:v>Canada</x:v>
      </x:c>
      <x:c r="C712" t="str">
        <x:v>Drinking Coco</x:v>
      </x:c>
      <x:c r="D712" s="14" t="n">
        <x:v>44754</x:v>
      </x:c>
      <x:c r="E712" s="16" t="n">
        <x:v>9884</x:v>
      </x:c>
      <x:c r="F712" s="18" t="n">
        <x:v>200</x:v>
      </x:c>
      <x:c r="G712" s="20" t="n">
        <x:f>IFERROR(E712/F712,0)</x:f>
        <x:v>49.42</x:v>
      </x:c>
      <x:c r="H712" t="str">
        <x:f>TEXT(D712,"mmm")</x:f>
        <x:v>Jul</x:v>
      </x:c>
      <x:c r="I712" s="22" t="n">
        <x:f>MONTH(D712)</x:f>
        <x:v>7</x:v>
      </x:c>
      <x:c r="J712" s="22" t="n">
        <x:f>YEAR(D712)</x:f>
        <x:v>2022</x:v>
      </x:c>
      <x:c r="K712" t="str">
        <x:f>IF(F712&gt;200,"Large Order","Standard Order")</x:f>
        <x:v>Standard Order</x:v>
      </x:c>
    </x:row>
    <x:row r="713">
      <x:c r="A713" t="str">
        <x:v>Jan Morforth</x:v>
      </x:c>
      <x:c r="B713" t="str">
        <x:v>UK</x:v>
      </x:c>
      <x:c r="C713" t="str">
        <x:v>Orange Choco</x:v>
      </x:c>
      <x:c r="D713" s="14" t="n">
        <x:v>44727</x:v>
      </x:c>
      <x:c r="E713" s="16" t="n">
        <x:v>3780</x:v>
      </x:c>
      <x:c r="F713" s="18" t="n">
        <x:v>201</x:v>
      </x:c>
      <x:c r="G713" s="20" t="n">
        <x:f>IFERROR(E713/F713,0)</x:f>
        <x:v>18.80597014925373</x:v>
      </x:c>
      <x:c r="H713" t="str">
        <x:f>TEXT(D713,"mmm")</x:f>
        <x:v>Jun</x:v>
      </x:c>
      <x:c r="I713" s="22" t="n">
        <x:f>MONTH(D713)</x:f>
        <x:v>6</x:v>
      </x:c>
      <x:c r="J713" s="22" t="n">
        <x:f>YEAR(D713)</x:f>
        <x:v>2022</x:v>
      </x:c>
      <x:c r="K713" t="str">
        <x:f>IF(F713&gt;200,"Large Order","Standard Order")</x:f>
        <x:v>Large Order</x:v>
      </x:c>
    </x:row>
    <x:row r="714">
      <x:c r="A714" t="str">
        <x:v>Barr Faughny</x:v>
      </x:c>
      <x:c r="B714" t="str">
        <x:v>New Zealand</x:v>
      </x:c>
      <x:c r="C714" t="str">
        <x:v>50% Dark Bites</x:v>
      </x:c>
      <x:c r="D714" s="14" t="n">
        <x:v>44735</x:v>
      </x:c>
      <x:c r="E714" s="16" t="n">
        <x:v>4557</x:v>
      </x:c>
      <x:c r="F714" s="18" t="n">
        <x:v>308</x:v>
      </x:c>
      <x:c r="G714" s="20" t="n">
        <x:f>IFERROR(E714/F714,0)</x:f>
        <x:v>14.795454545454545</x:v>
      </x:c>
      <x:c r="H714" t="str">
        <x:f>TEXT(D714,"mmm")</x:f>
        <x:v>Jun</x:v>
      </x:c>
      <x:c r="I714" s="22" t="n">
        <x:f>MONTH(D714)</x:f>
        <x:v>6</x:v>
      </x:c>
      <x:c r="J714" s="22" t="n">
        <x:f>YEAR(D714)</x:f>
        <x:v>2022</x:v>
      </x:c>
      <x:c r="K714" t="str">
        <x:f>IF(F714&gt;200,"Large Order","Standard Order")</x:f>
        <x:v>Large Order</x:v>
      </x:c>
    </x:row>
    <x:row r="715">
      <x:c r="A715" t="str">
        <x:v>Curtice Advani</x:v>
      </x:c>
      <x:c r="B715" t="str">
        <x:v>Australia</x:v>
      </x:c>
      <x:c r="C715" t="str">
        <x:v>Eclairs</x:v>
      </x:c>
      <x:c r="D715" s="14" t="n">
        <x:v>44645</x:v>
      </x:c>
      <x:c r="E715" s="16" t="n">
        <x:v>5796</x:v>
      </x:c>
      <x:c r="F715" s="18" t="n">
        <x:v>55</x:v>
      </x:c>
      <x:c r="G715" s="20" t="n">
        <x:f>IFERROR(E715/F715,0)</x:f>
        <x:v>105.38181818181818</x:v>
      </x:c>
      <x:c r="H715" t="str">
        <x:f>TEXT(D715,"mmm")</x:f>
        <x:v>Mar</x:v>
      </x:c>
      <x:c r="I715" s="22" t="n">
        <x:f>MONTH(D715)</x:f>
        <x:v>3</x:v>
      </x:c>
      <x:c r="J715" s="22" t="n">
        <x:f>YEAR(D715)</x:f>
        <x:v>2022</x:v>
      </x:c>
      <x:c r="K715" t="str">
        <x:f>IF(F715&gt;200,"Large Order","Standard Order")</x:f>
        <x:v>Standard Order</x:v>
      </x:c>
    </x:row>
    <x:row r="716">
      <x:c r="A716" t="str">
        <x:v>Jan Morforth</x:v>
      </x:c>
      <x:c r="B716" t="str">
        <x:v>India</x:v>
      </x:c>
      <x:c r="C716" t="str">
        <x:v>Caramel Stuffed Bars</x:v>
      </x:c>
      <x:c r="D716" s="14" t="n">
        <x:v>44746</x:v>
      </x:c>
      <x:c r="E716" s="16" t="n">
        <x:v>84</x:v>
      </x:c>
      <x:c r="F716" s="18" t="n">
        <x:v>153</x:v>
      </x:c>
      <x:c r="G716" s="20" t="n">
        <x:f>IFERROR(E716/F716,0)</x:f>
        <x:v>0.5490196078431373</x:v>
      </x:c>
      <x:c r="H716" t="str">
        <x:f>TEXT(D716,"mmm")</x:f>
        <x:v>Jul</x:v>
      </x:c>
      <x:c r="I716" s="22" t="n">
        <x:f>MONTH(D716)</x:f>
        <x:v>7</x:v>
      </x:c>
      <x:c r="J716" s="22" t="n">
        <x:f>YEAR(D716)</x:f>
        <x:v>2022</x:v>
      </x:c>
      <x:c r="K716" t="str">
        <x:f>IF(F716&gt;200,"Large Order","Standard Order")</x:f>
        <x:v>Standard Order</x:v>
      </x:c>
    </x:row>
    <x:row r="717">
      <x:c r="A717" t="str">
        <x:v>Andria Kimpton</x:v>
      </x:c>
      <x:c r="B717" t="str">
        <x:v>UK</x:v>
      </x:c>
      <x:c r="C717" t="str">
        <x:v>White Choc</x:v>
      </x:c>
      <x:c r="D717" s="14" t="n">
        <x:v>44693</x:v>
      </x:c>
      <x:c r="E717" s="16" t="n">
        <x:v>9037</x:v>
      </x:c>
      <x:c r="F717" s="18" t="n">
        <x:v>101</x:v>
      </x:c>
      <x:c r="G717" s="20" t="n">
        <x:f>IFERROR(E717/F717,0)</x:f>
        <x:v>89.47524752475248</x:v>
      </x:c>
      <x:c r="H717" t="str">
        <x:f>TEXT(D717,"mmm")</x:f>
        <x:v>May</x:v>
      </x:c>
      <x:c r="I717" s="22" t="n">
        <x:f>MONTH(D717)</x:f>
        <x:v>5</x:v>
      </x:c>
      <x:c r="J717" s="22" t="n">
        <x:f>YEAR(D717)</x:f>
        <x:v>2022</x:v>
      </x:c>
      <x:c r="K717" t="str">
        <x:f>IF(F717&gt;200,"Large Order","Standard Order")</x:f>
        <x:v>Standard Order</x:v>
      </x:c>
    </x:row>
    <x:row r="718">
      <x:c r="A718" t="str">
        <x:v>Camilla Castle</x:v>
      </x:c>
      <x:c r="B718" t="str">
        <x:v>New Zealand</x:v>
      </x:c>
      <x:c r="C718" t="str">
        <x:v>Raspberry Choco</x:v>
      </x:c>
      <x:c r="D718" s="14" t="n">
        <x:v>44655</x:v>
      </x:c>
      <x:c r="E718" s="16" t="n">
        <x:v>4746</x:v>
      </x:c>
      <x:c r="F718" s="18" t="n">
        <x:v>137</x:v>
      </x:c>
      <x:c r="G718" s="20" t="n">
        <x:f>IFERROR(E718/F718,0)</x:f>
        <x:v>34.64233576642336</x:v>
      </x:c>
      <x:c r="H718" t="str">
        <x:f>TEXT(D718,"mmm")</x:f>
        <x:v>Apr</x:v>
      </x:c>
      <x:c r="I718" s="22" t="n">
        <x:f>MONTH(D718)</x:f>
        <x:v>4</x:v>
      </x:c>
      <x:c r="J718" s="22" t="n">
        <x:f>YEAR(D718)</x:f>
        <x:v>2022</x:v>
      </x:c>
      <x:c r="K718" t="str">
        <x:f>IF(F718&gt;200,"Large Order","Standard Order")</x:f>
        <x:v>Standard Order</x:v>
      </x:c>
    </x:row>
    <x:row r="719">
      <x:c r="A719" t="str">
        <x:v>Madelene Upcott</x:v>
      </x:c>
      <x:c r="B719" t="str">
        <x:v>Australia</x:v>
      </x:c>
      <x:c r="C719" t="str">
        <x:v>Orange Choco</x:v>
      </x:c>
      <x:c r="D719" s="14" t="n">
        <x:v>44666</x:v>
      </x:c>
      <x:c r="E719" s="16" t="n">
        <x:v>6713</x:v>
      </x:c>
      <x:c r="F719" s="18" t="n">
        <x:v>398</x:v>
      </x:c>
      <x:c r="G719" s="20" t="n">
        <x:f>IFERROR(E719/F719,0)</x:f>
        <x:v>16.866834170854272</x:v>
      </x:c>
      <x:c r="H719" t="str">
        <x:f>TEXT(D719,"mmm")</x:f>
        <x:v>Apr</x:v>
      </x:c>
      <x:c r="I719" s="22" t="n">
        <x:f>MONTH(D719)</x:f>
        <x:v>4</x:v>
      </x:c>
      <x:c r="J719" s="22" t="n">
        <x:f>YEAR(D719)</x:f>
        <x:v>2022</x:v>
      </x:c>
      <x:c r="K719" t="str">
        <x:f>IF(F719&gt;200,"Large Order","Standard Order")</x:f>
        <x:v>Large Order</x:v>
      </x:c>
    </x:row>
    <x:row r="720">
      <x:c r="A720" t="str">
        <x:v>Roddy Speechley</x:v>
      </x:c>
      <x:c r="B720" t="str">
        <x:v>Canada</x:v>
      </x:c>
      <x:c r="C720" t="str">
        <x:v>Eclairs</x:v>
      </x:c>
      <x:c r="D720" s="14" t="n">
        <x:v>44628</x:v>
      </x:c>
      <x:c r="E720" s="16" t="n">
        <x:v>6237</x:v>
      </x:c>
      <x:c r="F720" s="18" t="n">
        <x:v>88</x:v>
      </x:c>
      <x:c r="G720" s="20" t="n">
        <x:f>IFERROR(E720/F720,0)</x:f>
        <x:v>70.875</x:v>
      </x:c>
      <x:c r="H720" t="str">
        <x:f>TEXT(D720,"mmm")</x:f>
        <x:v>Mar</x:v>
      </x:c>
      <x:c r="I720" s="22" t="n">
        <x:f>MONTH(D720)</x:f>
        <x:v>3</x:v>
      </x:c>
      <x:c r="J720" s="22" t="n">
        <x:f>YEAR(D720)</x:f>
        <x:v>2022</x:v>
      </x:c>
      <x:c r="K720" t="str">
        <x:f>IF(F720&gt;200,"Large Order","Standard Order")</x:f>
        <x:v>Standard Order</x:v>
      </x:c>
    </x:row>
    <x:row r="721">
      <x:c r="A721" t="str">
        <x:v>Karlen McCaffrey</x:v>
      </x:c>
      <x:c r="B721" t="str">
        <x:v>India</x:v>
      </x:c>
      <x:c r="C721" t="str">
        <x:v>White Choc</x:v>
      </x:c>
      <x:c r="D721" s="14" t="n">
        <x:v>44578</x:v>
      </x:c>
      <x:c r="E721" s="16" t="n">
        <x:v>7483</x:v>
      </x:c>
      <x:c r="F721" s="18" t="n">
        <x:v>232</x:v>
      </x:c>
      <x:c r="G721" s="20" t="n">
        <x:f>IFERROR(E721/F721,0)</x:f>
        <x:v>32.25431034482759</x:v>
      </x:c>
      <x:c r="H721" t="str">
        <x:f>TEXT(D721,"mmm")</x:f>
        <x:v>Jan</x:v>
      </x:c>
      <x:c r="I721" s="22" t="n">
        <x:f>MONTH(D721)</x:f>
        <x:v>1</x:v>
      </x:c>
      <x:c r="J721" s="22" t="n">
        <x:f>YEAR(D721)</x:f>
        <x:v>2022</x:v>
      </x:c>
      <x:c r="K721" t="str">
        <x:f>IF(F721&gt;200,"Large Order","Standard Order")</x:f>
        <x:v>Large Order</x:v>
      </x:c>
    </x:row>
    <x:row r="722">
      <x:c r="A722" t="str">
        <x:v>Wilone O'Kielt</x:v>
      </x:c>
      <x:c r="B722" t="str">
        <x:v>India</x:v>
      </x:c>
      <x:c r="C722" t="str">
        <x:v>Mint Chip Choco</x:v>
      </x:c>
      <x:c r="D722" s="14" t="n">
        <x:v>44795</x:v>
      </x:c>
      <x:c r="E722" s="16" t="n">
        <x:v>1309</x:v>
      </x:c>
      <x:c r="F722" s="18" t="n">
        <x:v>51</x:v>
      </x:c>
      <x:c r="G722" s="20" t="n">
        <x:f>IFERROR(E722/F722,0)</x:f>
        <x:v>25.666666666666668</x:v>
      </x:c>
      <x:c r="H722" t="str">
        <x:f>TEXT(D722,"mmm")</x:f>
        <x:v>Aug</x:v>
      </x:c>
      <x:c r="I722" s="22" t="n">
        <x:f>MONTH(D722)</x:f>
        <x:v>8</x:v>
      </x:c>
      <x:c r="J722" s="22" t="n">
        <x:f>YEAR(D722)</x:f>
        <x:v>2022</x:v>
      </x:c>
      <x:c r="K722" t="str">
        <x:f>IF(F722&gt;200,"Large Order","Standard Order")</x:f>
        <x:v>Standard Order</x:v>
      </x:c>
    </x:row>
    <x:row r="723">
      <x:c r="A723" t="str">
        <x:v>Andria Kimpton</x:v>
      </x:c>
      <x:c r="B723" t="str">
        <x:v>UK</x:v>
      </x:c>
      <x:c r="C723" t="str">
        <x:v>99% Dark &amp; Pure</x:v>
      </x:c>
      <x:c r="D723" s="14" t="n">
        <x:v>44767</x:v>
      </x:c>
      <x:c r="E723" s="16" t="n">
        <x:v>1155</x:v>
      </x:c>
      <x:c r="F723" s="18" t="n">
        <x:v>66</x:v>
      </x:c>
      <x:c r="G723" s="20" t="n">
        <x:f>IFERROR(E723/F723,0)</x:f>
        <x:v>17.5</x:v>
      </x:c>
      <x:c r="H723" t="str">
        <x:f>TEXT(D723,"mmm")</x:f>
        <x:v>Jul</x:v>
      </x:c>
      <x:c r="I723" s="22" t="n">
        <x:f>MONTH(D723)</x:f>
        <x:v>7</x:v>
      </x:c>
      <x:c r="J723" s="22" t="n">
        <x:f>YEAR(D723)</x:f>
        <x:v>2022</x:v>
      </x:c>
      <x:c r="K723" t="str">
        <x:f>IF(F723&gt;200,"Large Order","Standard Order")</x:f>
        <x:v>Standard Order</x:v>
      </x:c>
    </x:row>
    <x:row r="724">
      <x:c r="A724" t="str">
        <x:v>Marney O'Breen</x:v>
      </x:c>
      <x:c r="B724" t="str">
        <x:v>UK</x:v>
      </x:c>
      <x:c r="C724" t="str">
        <x:v>50% Dark Bites</x:v>
      </x:c>
      <x:c r="D724" s="14" t="n">
        <x:v>44726</x:v>
      </x:c>
      <x:c r="E724" s="16" t="n">
        <x:v>2989</x:v>
      </x:c>
      <x:c r="F724" s="18" t="n">
        <x:v>124</x:v>
      </x:c>
      <x:c r="G724" s="20" t="n">
        <x:f>IFERROR(E724/F724,0)</x:f>
        <x:v>24.10483870967742</x:v>
      </x:c>
      <x:c r="H724" t="str">
        <x:f>TEXT(D724,"mmm")</x:f>
        <x:v>Jun</x:v>
      </x:c>
      <x:c r="I724" s="22" t="n">
        <x:f>MONTH(D724)</x:f>
        <x:v>6</x:v>
      </x:c>
      <x:c r="J724" s="22" t="n">
        <x:f>YEAR(D724)</x:f>
        <x:v>2022</x:v>
      </x:c>
      <x:c r="K724" t="str">
        <x:f>IF(F724&gt;200,"Large Order","Standard Order")</x:f>
        <x:v>Standard Order</x:v>
      </x:c>
    </x:row>
    <x:row r="725">
      <x:c r="A725" t="str">
        <x:v>Ches Bonnell</x:v>
      </x:c>
      <x:c r="B725" t="str">
        <x:v>India</x:v>
      </x:c>
      <x:c r="C725" t="str">
        <x:v>Choco Coated Almonds</x:v>
      </x:c>
      <x:c r="D725" s="14" t="n">
        <x:v>44656</x:v>
      </x:c>
      <x:c r="E725" s="16" t="n">
        <x:v>9625</x:v>
      </x:c>
      <x:c r="F725" s="18" t="n">
        <x:v>78</x:v>
      </x:c>
      <x:c r="G725" s="20" t="n">
        <x:f>IFERROR(E725/F725,0)</x:f>
        <x:v>123.3974358974359</x:v>
      </x:c>
      <x:c r="H725" t="str">
        <x:f>TEXT(D725,"mmm")</x:f>
        <x:v>Apr</x:v>
      </x:c>
      <x:c r="I725" s="22" t="n">
        <x:f>MONTH(D725)</x:f>
        <x:v>4</x:v>
      </x:c>
      <x:c r="J725" s="22" t="n">
        <x:f>YEAR(D725)</x:f>
        <x:v>2022</x:v>
      </x:c>
      <x:c r="K725" t="str">
        <x:f>IF(F725&gt;200,"Large Order","Standard Order")</x:f>
        <x:v>Standard Order</x:v>
      </x:c>
    </x:row>
    <x:row r="726">
      <x:c r="A726" t="str">
        <x:v>Madelene Upcott</x:v>
      </x:c>
      <x:c r="B726" t="str">
        <x:v>UK</x:v>
      </x:c>
      <x:c r="C726" t="str">
        <x:v>Raspberry Choco</x:v>
      </x:c>
      <x:c r="D726" s="14" t="n">
        <x:v>44799</x:v>
      </x:c>
      <x:c r="E726" s="16" t="n">
        <x:v>7357</x:v>
      </x:c>
      <x:c r="F726" s="18" t="n">
        <x:v>341</x:v>
      </x:c>
      <x:c r="G726" s="20" t="n">
        <x:f>IFERROR(E726/F726,0)</x:f>
        <x:v>21.574780058651026</x:v>
      </x:c>
      <x:c r="H726" t="str">
        <x:f>TEXT(D726,"mmm")</x:f>
        <x:v>Aug</x:v>
      </x:c>
      <x:c r="I726" s="22" t="n">
        <x:f>MONTH(D726)</x:f>
        <x:v>8</x:v>
      </x:c>
      <x:c r="J726" s="22" t="n">
        <x:f>YEAR(D726)</x:f>
        <x:v>2022</x:v>
      </x:c>
      <x:c r="K726" t="str">
        <x:f>IF(F726&gt;200,"Large Order","Standard Order")</x:f>
        <x:v>Large Order</x:v>
      </x:c>
    </x:row>
    <x:row r="727">
      <x:c r="A727" t="str">
        <x:v>Wilone O'Kielt</x:v>
      </x:c>
      <x:c r="B727" t="str">
        <x:v>Australia</x:v>
      </x:c>
      <x:c r="C727" t="str">
        <x:v>50% Dark Bites</x:v>
      </x:c>
      <x:c r="D727" s="14" t="n">
        <x:v>44776</x:v>
      </x:c>
      <x:c r="E727" s="16" t="n">
        <x:v>10031</x:v>
      </x:c>
      <x:c r="F727" s="18" t="n">
        <x:v>114</x:v>
      </x:c>
      <x:c r="G727" s="20" t="n">
        <x:f>IFERROR(E727/F727,0)</x:f>
        <x:v>87.99122807017544</x:v>
      </x:c>
      <x:c r="H727" t="str">
        <x:f>TEXT(D727,"mmm")</x:f>
        <x:v>Aug</x:v>
      </x:c>
      <x:c r="I727" s="22" t="n">
        <x:f>MONTH(D727)</x:f>
        <x:v>8</x:v>
      </x:c>
      <x:c r="J727" s="22" t="n">
        <x:f>YEAR(D727)</x:f>
        <x:v>2022</x:v>
      </x:c>
      <x:c r="K727" t="str">
        <x:f>IF(F727&gt;200,"Large Order","Standard Order")</x:f>
        <x:v>Standard Order</x:v>
      </x:c>
    </x:row>
    <x:row r="728">
      <x:c r="A728" t="str">
        <x:v>Gigi Bohling</x:v>
      </x:c>
      <x:c r="B728" t="str">
        <x:v>Canada</x:v>
      </x:c>
      <x:c r="C728" t="str">
        <x:v>White Choc</x:v>
      </x:c>
      <x:c r="D728" s="14" t="n">
        <x:v>44753</x:v>
      </x:c>
      <x:c r="E728" s="16" t="n">
        <x:v>6587</x:v>
      </x:c>
      <x:c r="F728" s="18" t="n">
        <x:v>4</x:v>
      </x:c>
      <x:c r="G728" s="20" t="n">
        <x:f>IFERROR(E728/F728,0)</x:f>
        <x:v>1646.75</x:v>
      </x:c>
      <x:c r="H728" t="str">
        <x:f>TEXT(D728,"mmm")</x:f>
        <x:v>Jul</x:v>
      </x:c>
      <x:c r="I728" s="22" t="n">
        <x:f>MONTH(D728)</x:f>
        <x:v>7</x:v>
      </x:c>
      <x:c r="J728" s="22" t="n">
        <x:f>YEAR(D728)</x:f>
        <x:v>2022</x:v>
      </x:c>
      <x:c r="K728" t="str">
        <x:f>IF(F728&gt;200,"Large Order","Standard Order")</x:f>
        <x:v>Standard Order</x:v>
      </x:c>
    </x:row>
    <x:row r="729">
      <x:c r="A729" t="str">
        <x:v>Wilone O'Kielt</x:v>
      </x:c>
      <x:c r="B729" t="str">
        <x:v>New Zealand</x:v>
      </x:c>
      <x:c r="C729" t="str">
        <x:v>Eclairs</x:v>
      </x:c>
      <x:c r="D729" s="14" t="n">
        <x:v>44631</x:v>
      </x:c>
      <x:c r="E729" s="16" t="n">
        <x:v>3311</x:v>
      </x:c>
      <x:c r="F729" s="18" t="n">
        <x:v>22</x:v>
      </x:c>
      <x:c r="G729" s="20" t="n">
        <x:f>IFERROR(E729/F729,0)</x:f>
        <x:v>150.5</x:v>
      </x:c>
      <x:c r="H729" t="str">
        <x:f>TEXT(D729,"mmm")</x:f>
        <x:v>Mar</x:v>
      </x:c>
      <x:c r="I729" s="22" t="n">
        <x:f>MONTH(D729)</x:f>
        <x:v>3</x:v>
      </x:c>
      <x:c r="J729" s="22" t="n">
        <x:f>YEAR(D729)</x:f>
        <x:v>2022</x:v>
      </x:c>
      <x:c r="K729" t="str">
        <x:f>IF(F729&gt;200,"Large Order","Standard Order")</x:f>
        <x:v>Standard Order</x:v>
      </x:c>
    </x:row>
    <x:row r="730">
      <x:c r="A730" t="str">
        <x:v>Brien Boise</x:v>
      </x:c>
      <x:c r="B730" t="str">
        <x:v>UK</x:v>
      </x:c>
      <x:c r="C730" t="str">
        <x:v>Peanut Butter Cubes</x:v>
      </x:c>
      <x:c r="D730" s="14" t="n">
        <x:v>44571</x:v>
      </x:c>
      <x:c r="E730" s="16" t="n">
        <x:v>15330</x:v>
      </x:c>
      <x:c r="F730" s="18" t="n">
        <x:v>30</x:v>
      </x:c>
      <x:c r="G730" s="20" t="n">
        <x:f>IFERROR(E730/F730,0)</x:f>
        <x:v>511</x:v>
      </x:c>
      <x:c r="H730" t="str">
        <x:f>TEXT(D730,"mmm")</x:f>
        <x:v>Jan</x:v>
      </x:c>
      <x:c r="I730" s="22" t="n">
        <x:f>MONTH(D730)</x:f>
        <x:v>1</x:v>
      </x:c>
      <x:c r="J730" s="22" t="n">
        <x:f>YEAR(D730)</x:f>
        <x:v>2022</x:v>
      </x:c>
      <x:c r="K730" t="str">
        <x:f>IF(F730&gt;200,"Large Order","Standard Order")</x:f>
        <x:v>Standard Order</x:v>
      </x:c>
    </x:row>
    <x:row r="731">
      <x:c r="A731" t="str">
        <x:v>Roddy Speechley</x:v>
      </x:c>
      <x:c r="B731" t="str">
        <x:v>UK</x:v>
      </x:c>
      <x:c r="C731" t="str">
        <x:v>Baker's Choco Chips</x:v>
      </x:c>
      <x:c r="D731" s="14" t="n">
        <x:v>44655</x:v>
      </x:c>
      <x:c r="E731" s="16" t="n">
        <x:v>14028</x:v>
      </x:c>
      <x:c r="F731" s="18" t="n">
        <x:v>351</x:v>
      </x:c>
      <x:c r="G731" s="20" t="n">
        <x:f>IFERROR(E731/F731,0)</x:f>
        <x:v>39.965811965811966</x:v>
      </x:c>
      <x:c r="H731" t="str">
        <x:f>TEXT(D731,"mmm")</x:f>
        <x:v>Apr</x:v>
      </x:c>
      <x:c r="I731" s="22" t="n">
        <x:f>MONTH(D731)</x:f>
        <x:v>4</x:v>
      </x:c>
      <x:c r="J731" s="22" t="n">
        <x:f>YEAR(D731)</x:f>
        <x:v>2022</x:v>
      </x:c>
      <x:c r="K731" t="str">
        <x:f>IF(F731&gt;200,"Large Order","Standard Order")</x:f>
        <x:v>Large Order</x:v>
      </x:c>
    </x:row>
    <x:row r="732">
      <x:c r="A732" t="str">
        <x:v>Karlen McCaffrey</x:v>
      </x:c>
      <x:c r="B732" t="str">
        <x:v>Australia</x:v>
      </x:c>
      <x:c r="C732" t="str">
        <x:v>50% Dark Bites</x:v>
      </x:c>
      <x:c r="D732" s="14" t="n">
        <x:v>44578</x:v>
      </x:c>
      <x:c r="E732" s="16" t="n">
        <x:v>6678</x:v>
      </x:c>
      <x:c r="F732" s="18" t="n">
        <x:v>708</x:v>
      </x:c>
      <x:c r="G732" s="20" t="n">
        <x:f>IFERROR(E732/F732,0)</x:f>
        <x:v>9.432203389830509</x:v>
      </x:c>
      <x:c r="H732" t="str">
        <x:f>TEXT(D732,"mmm")</x:f>
        <x:v>Jan</x:v>
      </x:c>
      <x:c r="I732" s="22" t="n">
        <x:f>MONTH(D732)</x:f>
        <x:v>1</x:v>
      </x:c>
      <x:c r="J732" s="22" t="n">
        <x:f>YEAR(D732)</x:f>
        <x:v>2022</x:v>
      </x:c>
      <x:c r="K732" t="str">
        <x:f>IF(F732&gt;200,"Large Order","Standard Order")</x:f>
        <x:v>Large Order</x:v>
      </x:c>
    </x:row>
    <x:row r="733">
      <x:c r="A733" t="str">
        <x:v>Marney O'Breen</x:v>
      </x:c>
      <x:c r="B733" t="str">
        <x:v>New Zealand</x:v>
      </x:c>
      <x:c r="C733" t="str">
        <x:v>Organic Choco Syrup</x:v>
      </x:c>
      <x:c r="D733" s="14" t="n">
        <x:v>44750</x:v>
      </x:c>
      <x:c r="E733" s="16" t="n">
        <x:v>8624</x:v>
      </x:c>
      <x:c r="F733" s="18" t="n">
        <x:v>50</x:v>
      </x:c>
      <x:c r="G733" s="20" t="n">
        <x:f>IFERROR(E733/F733,0)</x:f>
        <x:v>172.48</x:v>
      </x:c>
      <x:c r="H733" t="str">
        <x:f>TEXT(D733,"mmm")</x:f>
        <x:v>Jul</x:v>
      </x:c>
      <x:c r="I733" s="22" t="n">
        <x:f>MONTH(D733)</x:f>
        <x:v>7</x:v>
      </x:c>
      <x:c r="J733" s="22" t="n">
        <x:f>YEAR(D733)</x:f>
        <x:v>2022</x:v>
      </x:c>
      <x:c r="K733" t="str">
        <x:f>IF(F733&gt;200,"Large Order","Standard Order")</x:f>
        <x:v>Standard Order</x:v>
      </x:c>
    </x:row>
    <x:row r="734">
      <x:c r="A734" t="str">
        <x:v>Jan Morforth</x:v>
      </x:c>
      <x:c r="B734" t="str">
        <x:v>UK</x:v>
      </x:c>
      <x:c r="C734" t="str">
        <x:v>Organic Choco Syrup</x:v>
      </x:c>
      <x:c r="D734" s="14" t="n">
        <x:v>44663</x:v>
      </x:c>
      <x:c r="E734" s="16" t="n">
        <x:v>1197</x:v>
      </x:c>
      <x:c r="F734" s="18" t="n">
        <x:v>356</x:v>
      </x:c>
      <x:c r="G734" s="20" t="n">
        <x:f>IFERROR(E734/F734,0)</x:f>
        <x:v>3.3623595505617976</x:v>
      </x:c>
      <x:c r="H734" t="str">
        <x:f>TEXT(D734,"mmm")</x:f>
        <x:v>Apr</x:v>
      </x:c>
      <x:c r="I734" s="22" t="n">
        <x:f>MONTH(D734)</x:f>
        <x:v>4</x:v>
      </x:c>
      <x:c r="J734" s="22" t="n">
        <x:f>YEAR(D734)</x:f>
        <x:v>2022</x:v>
      </x:c>
      <x:c r="K734" t="str">
        <x:f>IF(F734&gt;200,"Large Order","Standard Order")</x:f>
        <x:v>Large Order</x:v>
      </x:c>
    </x:row>
    <x:row r="735">
      <x:c r="A735" t="str">
        <x:v>Rafaelita Blaksland</x:v>
      </x:c>
      <x:c r="B735" t="str">
        <x:v>Canada</x:v>
      </x:c>
      <x:c r="C735" t="str">
        <x:v>Fruit &amp; Nut Bars</x:v>
      </x:c>
      <x:c r="D735" s="14" t="n">
        <x:v>44797</x:v>
      </x:c>
      <x:c r="E735" s="16" t="n">
        <x:v>483</x:v>
      </x:c>
      <x:c r="F735" s="18" t="n">
        <x:v>185</x:v>
      </x:c>
      <x:c r="G735" s="20" t="n">
        <x:f>IFERROR(E735/F735,0)</x:f>
        <x:v>2.610810810810811</x:v>
      </x:c>
      <x:c r="H735" t="str">
        <x:f>TEXT(D735,"mmm")</x:f>
        <x:v>Aug</x:v>
      </x:c>
      <x:c r="I735" s="22" t="n">
        <x:f>MONTH(D735)</x:f>
        <x:v>8</x:v>
      </x:c>
      <x:c r="J735" s="22" t="n">
        <x:f>YEAR(D735)</x:f>
        <x:v>2022</x:v>
      </x:c>
      <x:c r="K735" t="str">
        <x:f>IF(F735&gt;200,"Large Order","Standard Order")</x:f>
        <x:v>Standard Order</x:v>
      </x:c>
    </x:row>
    <x:row r="736">
      <x:c r="A736" t="str">
        <x:v>Ches Bonnell</x:v>
      </x:c>
      <x:c r="B736" t="str">
        <x:v>UK</x:v>
      </x:c>
      <x:c r="C736" t="str">
        <x:v>Choco Coated Almonds</x:v>
      </x:c>
      <x:c r="D736" s="14" t="n">
        <x:v>44719</x:v>
      </x:c>
      <x:c r="E736" s="16" t="n">
        <x:v>1687</x:v>
      </x:c>
      <x:c r="F736" s="18" t="n">
        <x:v>236</x:v>
      </x:c>
      <x:c r="G736" s="20" t="n">
        <x:f>IFERROR(E736/F736,0)</x:f>
        <x:v>7.148305084745763</x:v>
      </x:c>
      <x:c r="H736" t="str">
        <x:f>TEXT(D736,"mmm")</x:f>
        <x:v>Jun</x:v>
      </x:c>
      <x:c r="I736" s="22" t="n">
        <x:f>MONTH(D736)</x:f>
        <x:v>6</x:v>
      </x:c>
      <x:c r="J736" s="22" t="n">
        <x:f>YEAR(D736)</x:f>
        <x:v>2022</x:v>
      </x:c>
      <x:c r="K736" t="str">
        <x:f>IF(F736&gt;200,"Large Order","Standard Order")</x:f>
        <x:v>Large Order</x:v>
      </x:c>
    </x:row>
    <x:row r="737">
      <x:c r="A737" t="str">
        <x:v>Gunar Cockshoot</x:v>
      </x:c>
      <x:c r="B737" t="str">
        <x:v>Canada</x:v>
      </x:c>
      <x:c r="C737" t="str">
        <x:v>Almond Choco</x:v>
      </x:c>
      <x:c r="D737" s="14" t="n">
        <x:v>44770</x:v>
      </x:c>
      <x:c r="E737" s="16" t="n">
        <x:v>1309</x:v>
      </x:c>
      <x:c r="F737" s="18" t="n">
        <x:v>30</x:v>
      </x:c>
      <x:c r="G737" s="20" t="n">
        <x:f>IFERROR(E737/F737,0)</x:f>
        <x:v>43.63333333333333</x:v>
      </x:c>
      <x:c r="H737" t="str">
        <x:f>TEXT(D737,"mmm")</x:f>
        <x:v>Jul</x:v>
      </x:c>
      <x:c r="I737" s="22" t="n">
        <x:f>MONTH(D737)</x:f>
        <x:v>7</x:v>
      </x:c>
      <x:c r="J737" s="22" t="n">
        <x:f>YEAR(D737)</x:f>
        <x:v>2022</x:v>
      </x:c>
      <x:c r="K737" t="str">
        <x:f>IF(F737&gt;200,"Large Order","Standard Order")</x:f>
        <x:v>Standard Order</x:v>
      </x:c>
    </x:row>
    <x:row r="738">
      <x:c r="A738" t="str">
        <x:v>Husein Augar</x:v>
      </x:c>
      <x:c r="B738" t="str">
        <x:v>USA</x:v>
      </x:c>
      <x:c r="C738" t="str">
        <x:v>99% Dark &amp; Pure</x:v>
      </x:c>
      <x:c r="D738" s="14" t="n">
        <x:v>44613</x:v>
      </x:c>
      <x:c r="E738" s="16" t="n">
        <x:v>9534</x:v>
      </x:c>
      <x:c r="F738" s="18" t="n">
        <x:v>111</x:v>
      </x:c>
      <x:c r="G738" s="20" t="n">
        <x:f>IFERROR(E738/F738,0)</x:f>
        <x:v>85.89189189189189</x:v>
      </x:c>
      <x:c r="H738" t="str">
        <x:f>TEXT(D738,"mmm")</x:f>
        <x:v>Feb</x:v>
      </x:c>
      <x:c r="I738" s="22" t="n">
        <x:f>MONTH(D738)</x:f>
        <x:v>2</x:v>
      </x:c>
      <x:c r="J738" s="22" t="n">
        <x:f>YEAR(D738)</x:f>
        <x:v>2022</x:v>
      </x:c>
      <x:c r="K738" t="str">
        <x:f>IF(F738&gt;200,"Large Order","Standard Order")</x:f>
        <x:v>Standard Order</x:v>
      </x:c>
    </x:row>
    <x:row r="739">
      <x:c r="A739" t="str">
        <x:v>Dennison Crosswaite</x:v>
      </x:c>
      <x:c r="B739" t="str">
        <x:v>Canada</x:v>
      </x:c>
      <x:c r="C739" t="str">
        <x:v>Mint Chip Choco</x:v>
      </x:c>
      <x:c r="D739" s="14" t="n">
        <x:v>44659</x:v>
      </x:c>
      <x:c r="E739" s="16" t="n">
        <x:v>1694</x:v>
      </x:c>
      <x:c r="F739" s="18" t="n">
        <x:v>289</x:v>
      </x:c>
      <x:c r="G739" s="20" t="n">
        <x:f>IFERROR(E739/F739,0)</x:f>
        <x:v>5.86159169550173</x:v>
      </x:c>
      <x:c r="H739" t="str">
        <x:f>TEXT(D739,"mmm")</x:f>
        <x:v>Apr</x:v>
      </x:c>
      <x:c r="I739" s="22" t="n">
        <x:f>MONTH(D739)</x:f>
        <x:v>4</x:v>
      </x:c>
      <x:c r="J739" s="22" t="n">
        <x:f>YEAR(D739)</x:f>
        <x:v>2022</x:v>
      </x:c>
      <x:c r="K739" t="str">
        <x:f>IF(F739&gt;200,"Large Order","Standard Order")</x:f>
        <x:v>Large Order</x:v>
      </x:c>
    </x:row>
    <x:row r="740">
      <x:c r="A740" t="str">
        <x:v>Brien Boise</x:v>
      </x:c>
      <x:c r="B740" t="str">
        <x:v>UK</x:v>
      </x:c>
      <x:c r="C740" t="str">
        <x:v>Manuka Honey Choco</x:v>
      </x:c>
      <x:c r="D740" s="14" t="n">
        <x:v>44740</x:v>
      </x:c>
      <x:c r="E740" s="16" t="n">
        <x:v>70</x:v>
      </x:c>
      <x:c r="F740" s="18" t="n">
        <x:v>103</x:v>
      </x:c>
      <x:c r="G740" s="20" t="n">
        <x:f>IFERROR(E740/F740,0)</x:f>
        <x:v>0.6796116504854369</x:v>
      </x:c>
      <x:c r="H740" t="str">
        <x:f>TEXT(D740,"mmm")</x:f>
        <x:v>Jun</x:v>
      </x:c>
      <x:c r="I740" s="22" t="n">
        <x:f>MONTH(D740)</x:f>
        <x:v>6</x:v>
      </x:c>
      <x:c r="J740" s="22" t="n">
        <x:f>YEAR(D740)</x:f>
        <x:v>2022</x:v>
      </x:c>
      <x:c r="K740" t="str">
        <x:f>IF(F740&gt;200,"Large Order","Standard Order")</x:f>
        <x:v>Standard Order</x:v>
      </x:c>
    </x:row>
    <x:row r="741">
      <x:c r="A741" t="str">
        <x:v>Van Tuxwell</x:v>
      </x:c>
      <x:c r="B741" t="str">
        <x:v>UK</x:v>
      </x:c>
      <x:c r="C741" t="str">
        <x:v>Baker's Choco Chips</x:v>
      </x:c>
      <x:c r="D741" s="14" t="n">
        <x:v>44644</x:v>
      </x:c>
      <x:c r="E741" s="16" t="n">
        <x:v>2443</x:v>
      </x:c>
      <x:c r="F741" s="18" t="n">
        <x:v>20</x:v>
      </x:c>
      <x:c r="G741" s="20" t="n">
        <x:f>IFERROR(E741/F741,0)</x:f>
        <x:v>122.15</x:v>
      </x:c>
      <x:c r="H741" t="str">
        <x:f>TEXT(D741,"mmm")</x:f>
        <x:v>Mar</x:v>
      </x:c>
      <x:c r="I741" s="22" t="n">
        <x:f>MONTH(D741)</x:f>
        <x:v>3</x:v>
      </x:c>
      <x:c r="J741" s="22" t="n">
        <x:f>YEAR(D741)</x:f>
        <x:v>2022</x:v>
      </x:c>
      <x:c r="K741" t="str">
        <x:f>IF(F741&gt;200,"Large Order","Standard Order")</x:f>
        <x:v>Standard Order</x:v>
      </x:c>
    </x:row>
    <x:row r="742">
      <x:c r="A742" t="str">
        <x:v>Barr Faughny</x:v>
      </x:c>
      <x:c r="B742" t="str">
        <x:v>Australia</x:v>
      </x:c>
      <x:c r="C742" t="str">
        <x:v>Caramel Stuffed Bars</x:v>
      </x:c>
      <x:c r="D742" s="14" t="n">
        <x:v>44771</x:v>
      </x:c>
      <x:c r="E742" s="16" t="n">
        <x:v>2933</x:v>
      </x:c>
      <x:c r="F742" s="18" t="n">
        <x:v>55</x:v>
      </x:c>
      <x:c r="G742" s="20" t="n">
        <x:f>IFERROR(E742/F742,0)</x:f>
        <x:v>53.32727272727273</x:v>
      </x:c>
      <x:c r="H742" t="str">
        <x:f>TEXT(D742,"mmm")</x:f>
        <x:v>Jul</x:v>
      </x:c>
      <x:c r="I742" s="22" t="n">
        <x:f>MONTH(D742)</x:f>
        <x:v>7</x:v>
      </x:c>
      <x:c r="J742" s="22" t="n">
        <x:f>YEAR(D742)</x:f>
        <x:v>2022</x:v>
      </x:c>
      <x:c r="K742" t="str">
        <x:f>IF(F742&gt;200,"Large Order","Standard Order")</x:f>
        <x:v>Standard Order</x:v>
      </x:c>
    </x:row>
    <x:row r="743">
      <x:c r="A743" t="str">
        <x:v>Dennison Crosswaite</x:v>
      </x:c>
      <x:c r="B743" t="str">
        <x:v>USA</x:v>
      </x:c>
      <x:c r="C743" t="str">
        <x:v>Eclairs</x:v>
      </x:c>
      <x:c r="D743" s="14" t="n">
        <x:v>44706</x:v>
      </x:c>
      <x:c r="E743" s="16" t="n">
        <x:v>2044</x:v>
      </x:c>
      <x:c r="F743" s="18" t="n">
        <x:v>90</x:v>
      </x:c>
      <x:c r="G743" s="20" t="n">
        <x:f>IFERROR(E743/F743,0)</x:f>
        <x:v>22.711111111111112</x:v>
      </x:c>
      <x:c r="H743" t="str">
        <x:f>TEXT(D743,"mmm")</x:f>
        <x:v>May</x:v>
      </x:c>
      <x:c r="I743" s="22" t="n">
        <x:f>MONTH(D743)</x:f>
        <x:v>5</x:v>
      </x:c>
      <x:c r="J743" s="22" t="n">
        <x:f>YEAR(D743)</x:f>
        <x:v>2022</x:v>
      </x:c>
      <x:c r="K743" t="str">
        <x:f>IF(F743&gt;200,"Large Order","Standard Order")</x:f>
        <x:v>Standard Order</x:v>
      </x:c>
    </x:row>
    <x:row r="744">
      <x:c r="A744" t="str">
        <x:v>Gigi Bohling</x:v>
      </x:c>
      <x:c r="B744" t="str">
        <x:v>Australia</x:v>
      </x:c>
      <x:c r="C744" t="str">
        <x:v>Raspberry Choco</x:v>
      </x:c>
      <x:c r="D744" s="14" t="n">
        <x:v>44650</x:v>
      </x:c>
      <x:c r="E744" s="16" t="n">
        <x:v>6524</x:v>
      </x:c>
      <x:c r="F744" s="18" t="n">
        <x:v>303</x:v>
      </x:c>
      <x:c r="G744" s="20" t="n">
        <x:f>IFERROR(E744/F744,0)</x:f>
        <x:v>21.53135313531353</x:v>
      </x:c>
      <x:c r="H744" t="str">
        <x:f>TEXT(D744,"mmm")</x:f>
        <x:v>Mar</x:v>
      </x:c>
      <x:c r="I744" s="22" t="n">
        <x:f>MONTH(D744)</x:f>
        <x:v>3</x:v>
      </x:c>
      <x:c r="J744" s="22" t="n">
        <x:f>YEAR(D744)</x:f>
        <x:v>2022</x:v>
      </x:c>
      <x:c r="K744" t="str">
        <x:f>IF(F744&gt;200,"Large Order","Standard Order")</x:f>
        <x:v>Large Order</x:v>
      </x:c>
    </x:row>
    <x:row r="745">
      <x:c r="A745" t="str">
        <x:v>Dennison Crosswaite</x:v>
      </x:c>
      <x:c r="B745" t="str">
        <x:v>USA</x:v>
      </x:c>
      <x:c r="C745" t="str">
        <x:v>Organic Choco Syrup</x:v>
      </x:c>
      <x:c r="D745" s="14" t="n">
        <x:v>44760</x:v>
      </x:c>
      <x:c r="E745" s="16" t="n">
        <x:v>12656</x:v>
      </x:c>
      <x:c r="F745" s="18" t="n">
        <x:v>126</x:v>
      </x:c>
      <x:c r="G745" s="20" t="n">
        <x:f>IFERROR(E745/F745,0)</x:f>
        <x:v>100.44444444444444</x:v>
      </x:c>
      <x:c r="H745" t="str">
        <x:f>TEXT(D745,"mmm")</x:f>
        <x:v>Jul</x:v>
      </x:c>
      <x:c r="I745" s="22" t="n">
        <x:f>MONTH(D745)</x:f>
        <x:v>7</x:v>
      </x:c>
      <x:c r="J745" s="22" t="n">
        <x:f>YEAR(D745)</x:f>
        <x:v>2022</x:v>
      </x:c>
      <x:c r="K745" t="str">
        <x:f>IF(F745&gt;200,"Large Order","Standard Order")</x:f>
        <x:v>Standard Order</x:v>
      </x:c>
    </x:row>
    <x:row r="746">
      <x:c r="A746" t="str">
        <x:v>Beverie Moffet</x:v>
      </x:c>
      <x:c r="B746" t="str">
        <x:v>Canada</x:v>
      </x:c>
      <x:c r="C746" t="str">
        <x:v>Orange Choco</x:v>
      </x:c>
      <x:c r="D746" s="14" t="n">
        <x:v>44691</x:v>
      </x:c>
      <x:c r="E746" s="16" t="n">
        <x:v>8722</x:v>
      </x:c>
      <x:c r="F746" s="18" t="n">
        <x:v>109</x:v>
      </x:c>
      <x:c r="G746" s="20" t="n">
        <x:f>IFERROR(E746/F746,0)</x:f>
        <x:v>80.01834862385321</x:v>
      </x:c>
      <x:c r="H746" t="str">
        <x:f>TEXT(D746,"mmm")</x:f>
        <x:v>May</x:v>
      </x:c>
      <x:c r="I746" s="22" t="n">
        <x:f>MONTH(D746)</x:f>
        <x:v>5</x:v>
      </x:c>
      <x:c r="J746" s="22" t="n">
        <x:f>YEAR(D746)</x:f>
        <x:v>2022</x:v>
      </x:c>
      <x:c r="K746" t="str">
        <x:f>IF(F746&gt;200,"Large Order","Standard Order")</x:f>
        <x:v>Standard Order</x:v>
      </x:c>
    </x:row>
    <x:row r="747">
      <x:c r="A747" t="str">
        <x:v>Mallorie Waber</x:v>
      </x:c>
      <x:c r="B747" t="str">
        <x:v>Australia</x:v>
      </x:c>
      <x:c r="C747" t="str">
        <x:v>Choco Coated Almonds</x:v>
      </x:c>
      <x:c r="D747" s="14" t="n">
        <x:v>44638</x:v>
      </x:c>
      <x:c r="E747" s="16" t="n">
        <x:v>15750</x:v>
      </x:c>
      <x:c r="F747" s="18" t="n">
        <x:v>92</x:v>
      </x:c>
      <x:c r="G747" s="20" t="n">
        <x:f>IFERROR(E747/F747,0)</x:f>
        <x:v>171.19565217391303</x:v>
      </x:c>
      <x:c r="H747" t="str">
        <x:f>TEXT(D747,"mmm")</x:f>
        <x:v>Mar</x:v>
      </x:c>
      <x:c r="I747" s="22" t="n">
        <x:f>MONTH(D747)</x:f>
        <x:v>3</x:v>
      </x:c>
      <x:c r="J747" s="22" t="n">
        <x:f>YEAR(D747)</x:f>
        <x:v>2022</x:v>
      </x:c>
      <x:c r="K747" t="str">
        <x:f>IF(F747&gt;200,"Large Order","Standard Order")</x:f>
        <x:v>Standard Order</x:v>
      </x:c>
    </x:row>
    <x:row r="748">
      <x:c r="A748" t="str">
        <x:v>Ches Bonnell</x:v>
      </x:c>
      <x:c r="B748" t="str">
        <x:v>India</x:v>
      </x:c>
      <x:c r="C748" t="str">
        <x:v>Caramel Stuffed Bars</x:v>
      </x:c>
      <x:c r="D748" s="14" t="n">
        <x:v>44727</x:v>
      </x:c>
      <x:c r="E748" s="16" t="n">
        <x:v>6839</x:v>
      </x:c>
      <x:c r="F748" s="18" t="n">
        <x:v>56</x:v>
      </x:c>
      <x:c r="G748" s="20" t="n">
        <x:f>IFERROR(E748/F748,0)</x:f>
        <x:v>122.125</x:v>
      </x:c>
      <x:c r="H748" t="str">
        <x:f>TEXT(D748,"mmm")</x:f>
        <x:v>Jun</x:v>
      </x:c>
      <x:c r="I748" s="22" t="n">
        <x:f>MONTH(D748)</x:f>
        <x:v>6</x:v>
      </x:c>
      <x:c r="J748" s="22" t="n">
        <x:f>YEAR(D748)</x:f>
        <x:v>2022</x:v>
      </x:c>
      <x:c r="K748" t="str">
        <x:f>IF(F748&gt;200,"Large Order","Standard Order")</x:f>
        <x:v>Standard Order</x:v>
      </x:c>
    </x:row>
    <x:row r="749">
      <x:c r="A749" t="str">
        <x:v>Van Tuxwell</x:v>
      </x:c>
      <x:c r="B749" t="str">
        <x:v>Canada</x:v>
      </x:c>
      <x:c r="C749" t="str">
        <x:v>50% Dark Bites</x:v>
      </x:c>
      <x:c r="D749" s="14" t="n">
        <x:v>44693</x:v>
      </x:c>
      <x:c r="E749" s="16" t="n">
        <x:v>13685</x:v>
      </x:c>
      <x:c r="F749" s="18" t="n">
        <x:v>58</x:v>
      </x:c>
      <x:c r="G749" s="20" t="n">
        <x:f>IFERROR(E749/F749,0)</x:f>
        <x:v>235.94827586206895</x:v>
      </x:c>
      <x:c r="H749" t="str">
        <x:f>TEXT(D749,"mmm")</x:f>
        <x:v>May</x:v>
      </x:c>
      <x:c r="I749" s="22" t="n">
        <x:f>MONTH(D749)</x:f>
        <x:v>5</x:v>
      </x:c>
      <x:c r="J749" s="22" t="n">
        <x:f>YEAR(D749)</x:f>
        <x:v>2022</x:v>
      </x:c>
      <x:c r="K749" t="str">
        <x:f>IF(F749&gt;200,"Large Order","Standard Order")</x:f>
        <x:v>Standard Order</x:v>
      </x:c>
    </x:row>
    <x:row r="750">
      <x:c r="A750" t="str">
        <x:v>Kelci Walkden</x:v>
      </x:c>
      <x:c r="B750" t="str">
        <x:v>New Zealand</x:v>
      </x:c>
      <x:c r="C750" t="str">
        <x:v>Baker's Choco Chips</x:v>
      </x:c>
      <x:c r="D750" s="14" t="n">
        <x:v>44735</x:v>
      </x:c>
      <x:c r="E750" s="16" t="n">
        <x:v>2912</x:v>
      </x:c>
      <x:c r="F750" s="18" t="n">
        <x:v>110</x:v>
      </x:c>
      <x:c r="G750" s="20" t="n">
        <x:f>IFERROR(E750/F750,0)</x:f>
        <x:v>26.472727272727273</x:v>
      </x:c>
      <x:c r="H750" t="str">
        <x:f>TEXT(D750,"mmm")</x:f>
        <x:v>Jun</x:v>
      </x:c>
      <x:c r="I750" s="22" t="n">
        <x:f>MONTH(D750)</x:f>
        <x:v>6</x:v>
      </x:c>
      <x:c r="J750" s="22" t="n">
        <x:f>YEAR(D750)</x:f>
        <x:v>2022</x:v>
      </x:c>
      <x:c r="K750" t="str">
        <x:f>IF(F750&gt;200,"Large Order","Standard Order")</x:f>
        <x:v>Standard Order</x:v>
      </x:c>
    </x:row>
    <x:row r="751">
      <x:c r="A751" t="str">
        <x:v>Beverie Moffet</x:v>
      </x:c>
      <x:c r="B751" t="str">
        <x:v>India</x:v>
      </x:c>
      <x:c r="C751" t="str">
        <x:v>Spicy Special Slims</x:v>
      </x:c>
      <x:c r="D751" s="14" t="n">
        <x:v>44672</x:v>
      </x:c>
      <x:c r="E751" s="16" t="n">
        <x:v>3339</x:v>
      </x:c>
      <x:c r="F751" s="18" t="n">
        <x:v>171</x:v>
      </x:c>
      <x:c r="G751" s="20" t="n">
        <x:f>IFERROR(E751/F751,0)</x:f>
        <x:v>19.526315789473685</x:v>
      </x:c>
      <x:c r="H751" t="str">
        <x:f>TEXT(D751,"mmm")</x:f>
        <x:v>Apr</x:v>
      </x:c>
      <x:c r="I751" s="22" t="n">
        <x:f>MONTH(D751)</x:f>
        <x:v>4</x:v>
      </x:c>
      <x:c r="J751" s="22" t="n">
        <x:f>YEAR(D751)</x:f>
        <x:v>2022</x:v>
      </x:c>
      <x:c r="K751" t="str">
        <x:f>IF(F751&gt;200,"Large Order","Standard Order")</x:f>
        <x:v>Standard Order</x:v>
      </x:c>
    </x:row>
    <x:row r="752">
      <x:c r="A752" t="str">
        <x:v>Gigi Bohling</x:v>
      </x:c>
      <x:c r="B752" t="str">
        <x:v>Australia</x:v>
      </x:c>
      <x:c r="C752" t="str">
        <x:v>Almond Choco</x:v>
      </x:c>
      <x:c r="D752" s="14" t="n">
        <x:v>44790</x:v>
      </x:c>
      <x:c r="E752" s="16" t="n">
        <x:v>910</x:v>
      </x:c>
      <x:c r="F752" s="18" t="n">
        <x:v>117</x:v>
      </x:c>
      <x:c r="G752" s="20" t="n">
        <x:f>IFERROR(E752/F752,0)</x:f>
        <x:v>7.777777777777778</x:v>
      </x:c>
      <x:c r="H752" t="str">
        <x:f>TEXT(D752,"mmm")</x:f>
        <x:v>Aug</x:v>
      </x:c>
      <x:c r="I752" s="22" t="n">
        <x:f>MONTH(D752)</x:f>
        <x:v>8</x:v>
      </x:c>
      <x:c r="J752" s="22" t="n">
        <x:f>YEAR(D752)</x:f>
        <x:v>2022</x:v>
      </x:c>
      <x:c r="K752" t="str">
        <x:f>IF(F752&gt;200,"Large Order","Standard Order")</x:f>
        <x:v>Standard Order</x:v>
      </x:c>
    </x:row>
    <x:row r="753">
      <x:c r="A753" t="str">
        <x:v>Rafaelita Blaksland</x:v>
      </x:c>
      <x:c r="B753" t="str">
        <x:v>New Zealand</x:v>
      </x:c>
      <x:c r="C753" t="str">
        <x:v>Eclairs</x:v>
      </x:c>
      <x:c r="D753" s="14" t="n">
        <x:v>44599</x:v>
      </x:c>
      <x:c r="E753" s="16" t="n">
        <x:v>19481</x:v>
      </x:c>
      <x:c r="F753" s="18" t="n">
        <x:v>51</x:v>
      </x:c>
      <x:c r="G753" s="20" t="n">
        <x:f>IFERROR(E753/F753,0)</x:f>
        <x:v>381.98039215686276</x:v>
      </x:c>
      <x:c r="H753" t="str">
        <x:f>TEXT(D753,"mmm")</x:f>
        <x:v>Feb</x:v>
      </x:c>
      <x:c r="I753" s="22" t="n">
        <x:f>MONTH(D753)</x:f>
        <x:v>2</x:v>
      </x:c>
      <x:c r="J753" s="22" t="n">
        <x:f>YEAR(D753)</x:f>
        <x:v>2022</x:v>
      </x:c>
      <x:c r="K753" t="str">
        <x:f>IF(F753&gt;200,"Large Order","Standard Order")</x:f>
        <x:v>Standard Order</x:v>
      </x:c>
    </x:row>
    <x:row r="754">
      <x:c r="A754" t="str">
        <x:v>Kelci Walkden</x:v>
      </x:c>
      <x:c r="B754" t="str">
        <x:v>Canada</x:v>
      </x:c>
      <x:c r="C754" t="str">
        <x:v>Smooth Silky Salty</x:v>
      </x:c>
      <x:c r="D754" s="14" t="n">
        <x:v>44637</x:v>
      </x:c>
      <x:c r="E754" s="16" t="n">
        <x:v>8099</x:v>
      </x:c>
      <x:c r="F754" s="18" t="n">
        <x:v>118</x:v>
      </x:c>
      <x:c r="G754" s="20" t="n">
        <x:f>IFERROR(E754/F754,0)</x:f>
        <x:v>68.63559322033899</x:v>
      </x:c>
      <x:c r="H754" t="str">
        <x:f>TEXT(D754,"mmm")</x:f>
        <x:v>Mar</x:v>
      </x:c>
      <x:c r="I754" s="22" t="n">
        <x:f>MONTH(D754)</x:f>
        <x:v>3</x:v>
      </x:c>
      <x:c r="J754" s="22" t="n">
        <x:f>YEAR(D754)</x:f>
        <x:v>2022</x:v>
      </x:c>
      <x:c r="K754" t="str">
        <x:f>IF(F754&gt;200,"Large Order","Standard Order")</x:f>
        <x:v>Standard Order</x:v>
      </x:c>
    </x:row>
    <x:row r="755">
      <x:c r="A755" t="str">
        <x:v>Jan Morforth</x:v>
      </x:c>
      <x:c r="B755" t="str">
        <x:v>India</x:v>
      </x:c>
      <x:c r="C755" t="str">
        <x:v>Baker's Choco Chips</x:v>
      </x:c>
      <x:c r="D755" s="14" t="n">
        <x:v>44774</x:v>
      </x:c>
      <x:c r="E755" s="16" t="n">
        <x:v>13727</x:v>
      </x:c>
      <x:c r="F755" s="18" t="n">
        <x:v>79</x:v>
      </x:c>
      <x:c r="G755" s="20" t="n">
        <x:f>IFERROR(E755/F755,0)</x:f>
        <x:v>173.7594936708861</x:v>
      </x:c>
      <x:c r="H755" t="str">
        <x:f>TEXT(D755,"mmm")</x:f>
        <x:v>Aug</x:v>
      </x:c>
      <x:c r="I755" s="22" t="n">
        <x:f>MONTH(D755)</x:f>
        <x:v>8</x:v>
      </x:c>
      <x:c r="J755" s="22" t="n">
        <x:f>YEAR(D755)</x:f>
        <x:v>2022</x:v>
      </x:c>
      <x:c r="K755" t="str">
        <x:f>IF(F755&gt;200,"Large Order","Standard Order")</x:f>
        <x:v>Standard Order</x:v>
      </x:c>
    </x:row>
    <x:row r="756">
      <x:c r="A756" t="str">
        <x:v>Jehu Rudeforth</x:v>
      </x:c>
      <x:c r="B756" t="str">
        <x:v>Australia</x:v>
      </x:c>
      <x:c r="C756" t="str">
        <x:v>Milk Bars</x:v>
      </x:c>
      <x:c r="D756" s="14" t="n">
        <x:v>44638</x:v>
      </x:c>
      <x:c r="E756" s="16" t="n">
        <x:v>8659</x:v>
      </x:c>
      <x:c r="F756" s="18" t="n">
        <x:v>29</x:v>
      </x:c>
      <x:c r="G756" s="20" t="n">
        <x:f>IFERROR(E756/F756,0)</x:f>
        <x:v>298.58620689655174</x:v>
      </x:c>
      <x:c r="H756" t="str">
        <x:f>TEXT(D756,"mmm")</x:f>
        <x:v>Mar</x:v>
      </x:c>
      <x:c r="I756" s="22" t="n">
        <x:f>MONTH(D756)</x:f>
        <x:v>3</x:v>
      </x:c>
      <x:c r="J756" s="22" t="n">
        <x:f>YEAR(D756)</x:f>
        <x:v>2022</x:v>
      </x:c>
      <x:c r="K756" t="str">
        <x:f>IF(F756&gt;200,"Large Order","Standard Order")</x:f>
        <x:v>Standard Order</x:v>
      </x:c>
    </x:row>
    <x:row r="757">
      <x:c r="A757" t="str">
        <x:v>Gigi Bohling</x:v>
      </x:c>
      <x:c r="B757" t="str">
        <x:v>Canada</x:v>
      </x:c>
      <x:c r="C757" t="str">
        <x:v>Fruit &amp; Nut Bars</x:v>
      </x:c>
      <x:c r="D757" s="14" t="n">
        <x:v>44726</x:v>
      </x:c>
      <x:c r="E757" s="16" t="n">
        <x:v>5782</x:v>
      </x:c>
      <x:c r="F757" s="18" t="n">
        <x:v>103</x:v>
      </x:c>
      <x:c r="G757" s="20" t="n">
        <x:f>IFERROR(E757/F757,0)</x:f>
        <x:v>56.13592233009709</x:v>
      </x:c>
      <x:c r="H757" t="str">
        <x:f>TEXT(D757,"mmm")</x:f>
        <x:v>Jun</x:v>
      </x:c>
      <x:c r="I757" s="22" t="n">
        <x:f>MONTH(D757)</x:f>
        <x:v>6</x:v>
      </x:c>
      <x:c r="J757" s="22" t="n">
        <x:f>YEAR(D757)</x:f>
        <x:v>2022</x:v>
      </x:c>
      <x:c r="K757" t="str">
        <x:f>IF(F757&gt;200,"Large Order","Standard Order")</x:f>
        <x:v>Standard Order</x:v>
      </x:c>
    </x:row>
    <x:row r="758">
      <x:c r="A758" t="str">
        <x:v>Beverie Moffet</x:v>
      </x:c>
      <x:c r="B758" t="str">
        <x:v>UK</x:v>
      </x:c>
      <x:c r="C758" t="str">
        <x:v>Eclairs</x:v>
      </x:c>
      <x:c r="D758" s="14" t="n">
        <x:v>44673</x:v>
      </x:c>
      <x:c r="E758" s="16" t="n">
        <x:v>8463</x:v>
      </x:c>
      <x:c r="F758" s="18" t="n">
        <x:v>155</x:v>
      </x:c>
      <x:c r="G758" s="20" t="n">
        <x:f>IFERROR(E758/F758,0)</x:f>
        <x:v>54.6</x:v>
      </x:c>
      <x:c r="H758" t="str">
        <x:f>TEXT(D758,"mmm")</x:f>
        <x:v>Apr</x:v>
      </x:c>
      <x:c r="I758" s="22" t="n">
        <x:f>MONTH(D758)</x:f>
        <x:v>4</x:v>
      </x:c>
      <x:c r="J758" s="22" t="n">
        <x:f>YEAR(D758)</x:f>
        <x:v>2022</x:v>
      </x:c>
      <x:c r="K758" t="str">
        <x:f>IF(F758&gt;200,"Large Order","Standard Order")</x:f>
        <x:v>Standard Order</x:v>
      </x:c>
    </x:row>
    <x:row r="759">
      <x:c r="A759" t="str">
        <x:v>Marney O'Breen</x:v>
      </x:c>
      <x:c r="B759" t="str">
        <x:v>New Zealand</x:v>
      </x:c>
      <x:c r="C759" t="str">
        <x:v>Eclairs</x:v>
      </x:c>
      <x:c r="D759" s="14" t="n">
        <x:v>44579</x:v>
      </x:c>
      <x:c r="E759" s="16" t="n">
        <x:v>4914</x:v>
      </x:c>
      <x:c r="F759" s="18" t="n">
        <x:v>31</x:v>
      </x:c>
      <x:c r="G759" s="20" t="n">
        <x:f>IFERROR(E759/F759,0)</x:f>
        <x:v>158.51612903225808</x:v>
      </x:c>
      <x:c r="H759" t="str">
        <x:f>TEXT(D759,"mmm")</x:f>
        <x:v>Jan</x:v>
      </x:c>
      <x:c r="I759" s="22" t="n">
        <x:f>MONTH(D759)</x:f>
        <x:v>1</x:v>
      </x:c>
      <x:c r="J759" s="22" t="n">
        <x:f>YEAR(D759)</x:f>
        <x:v>2022</x:v>
      </x:c>
      <x:c r="K759" t="str">
        <x:f>IF(F759&gt;200,"Large Order","Standard Order")</x:f>
        <x:v>Standard Order</x:v>
      </x:c>
    </x:row>
    <x:row r="760">
      <x:c r="A760" t="str">
        <x:v>Husein Augar</x:v>
      </x:c>
      <x:c r="B760" t="str">
        <x:v>Australia</x:v>
      </x:c>
      <x:c r="C760" t="str">
        <x:v>99% Dark &amp; Pure</x:v>
      </x:c>
      <x:c r="D760" s="14" t="n">
        <x:v>44799</x:v>
      </x:c>
      <x:c r="E760" s="16" t="n">
        <x:v>3087</x:v>
      </x:c>
      <x:c r="F760" s="18" t="n">
        <x:v>128</x:v>
      </x:c>
      <x:c r="G760" s="20" t="n">
        <x:f>IFERROR(E760/F760,0)</x:f>
        <x:v>24.1171875</x:v>
      </x:c>
      <x:c r="H760" t="str">
        <x:f>TEXT(D760,"mmm")</x:f>
        <x:v>Aug</x:v>
      </x:c>
      <x:c r="I760" s="22" t="n">
        <x:f>MONTH(D760)</x:f>
        <x:v>8</x:v>
      </x:c>
      <x:c r="J760" s="22" t="n">
        <x:f>YEAR(D760)</x:f>
        <x:v>2022</x:v>
      </x:c>
      <x:c r="K760" t="str">
        <x:f>IF(F760&gt;200,"Large Order","Standard Order")</x:f>
        <x:v>Standard Order</x:v>
      </x:c>
    </x:row>
    <x:row r="761">
      <x:c r="A761" t="str">
        <x:v>Gunar Cockshoot</x:v>
      </x:c>
      <x:c r="B761" t="str">
        <x:v>New Zealand</x:v>
      </x:c>
      <x:c r="C761" t="str">
        <x:v>Fruit &amp; Nut Bars</x:v>
      </x:c>
      <x:c r="D761" s="14" t="n">
        <x:v>44722</x:v>
      </x:c>
      <x:c r="E761" s="16" t="n">
        <x:v>9205</x:v>
      </x:c>
      <x:c r="F761" s="18" t="n">
        <x:v>419</x:v>
      </x:c>
      <x:c r="G761" s="20" t="n">
        <x:f>IFERROR(E761/F761,0)</x:f>
        <x:v>21.968973747016708</x:v>
      </x:c>
      <x:c r="H761" t="str">
        <x:f>TEXT(D761,"mmm")</x:f>
        <x:v>Jun</x:v>
      </x:c>
      <x:c r="I761" s="22" t="n">
        <x:f>MONTH(D761)</x:f>
        <x:v>6</x:v>
      </x:c>
      <x:c r="J761" s="22" t="n">
        <x:f>YEAR(D761)</x:f>
        <x:v>2022</x:v>
      </x:c>
      <x:c r="K761" t="str">
        <x:f>IF(F761&gt;200,"Large Order","Standard Order")</x:f>
        <x:v>Large Order</x:v>
      </x:c>
    </x:row>
    <x:row r="762">
      <x:c r="A762" t="str">
        <x:v>Curtice Advani</x:v>
      </x:c>
      <x:c r="B762" t="str">
        <x:v>Canada</x:v>
      </x:c>
      <x:c r="C762" t="str">
        <x:v>70% Dark Bites</x:v>
      </x:c>
      <x:c r="D762" s="14" t="n">
        <x:v>44592</x:v>
      </x:c>
      <x:c r="E762" s="16" t="n">
        <x:v>2303</x:v>
      </x:c>
      <x:c r="F762" s="18" t="n">
        <x:v>7</x:v>
      </x:c>
      <x:c r="G762" s="20" t="n">
        <x:f>IFERROR(E762/F762,0)</x:f>
        <x:v>329</x:v>
      </x:c>
      <x:c r="H762" t="str">
        <x:f>TEXT(D762,"mmm")</x:f>
        <x:v>Jan</x:v>
      </x:c>
      <x:c r="I762" s="22" t="n">
        <x:f>MONTH(D762)</x:f>
        <x:v>1</x:v>
      </x:c>
      <x:c r="J762" s="22" t="n">
        <x:f>YEAR(D762)</x:f>
        <x:v>2022</x:v>
      </x:c>
      <x:c r="K762" t="str">
        <x:f>IF(F762&gt;200,"Large Order","Standard Order")</x:f>
        <x:v>Standard Order</x:v>
      </x:c>
    </x:row>
    <x:row r="763">
      <x:c r="A763" t="str">
        <x:v>Kelci Walkden</x:v>
      </x:c>
      <x:c r="B763" t="str">
        <x:v>New Zealand</x:v>
      </x:c>
      <x:c r="C763" t="str">
        <x:v>Manuka Honey Choco</x:v>
      </x:c>
      <x:c r="D763" s="14" t="n">
        <x:v>44659</x:v>
      </x:c>
      <x:c r="E763" s="16" t="n">
        <x:v>1358</x:v>
      </x:c>
      <x:c r="F763" s="18" t="n">
        <x:v>106</x:v>
      </x:c>
      <x:c r="G763" s="20" t="n">
        <x:f>IFERROR(E763/F763,0)</x:f>
        <x:v>12.81132075471698</x:v>
      </x:c>
      <x:c r="H763" t="str">
        <x:f>TEXT(D763,"mmm")</x:f>
        <x:v>Apr</x:v>
      </x:c>
      <x:c r="I763" s="22" t="n">
        <x:f>MONTH(D763)</x:f>
        <x:v>4</x:v>
      </x:c>
      <x:c r="J763" s="22" t="n">
        <x:f>YEAR(D763)</x:f>
        <x:v>2022</x:v>
      </x:c>
      <x:c r="K763" t="str">
        <x:f>IF(F763&gt;200,"Large Order","Standard Order")</x:f>
        <x:v>Standard Order</x:v>
      </x:c>
    </x:row>
    <x:row r="764">
      <x:c r="A764" t="str">
        <x:v>Dotty Strutley</x:v>
      </x:c>
      <x:c r="B764" t="str">
        <x:v>Australia</x:v>
      </x:c>
      <x:c r="C764" t="str">
        <x:v>Baker's Choco Chips</x:v>
      </x:c>
      <x:c r="D764" s="14" t="n">
        <x:v>44719</x:v>
      </x:c>
      <x:c r="E764" s="16" t="n">
        <x:v>3605</x:v>
      </x:c>
      <x:c r="F764" s="18" t="n">
        <x:v>68</x:v>
      </x:c>
      <x:c r="G764" s="20" t="n">
        <x:f>IFERROR(E764/F764,0)</x:f>
        <x:v>53.01470588235294</x:v>
      </x:c>
      <x:c r="H764" t="str">
        <x:f>TEXT(D764,"mmm")</x:f>
        <x:v>Jun</x:v>
      </x:c>
      <x:c r="I764" s="22" t="n">
        <x:f>MONTH(D764)</x:f>
        <x:v>6</x:v>
      </x:c>
      <x:c r="J764" s="22" t="n">
        <x:f>YEAR(D764)</x:f>
        <x:v>2022</x:v>
      </x:c>
      <x:c r="K764" t="str">
        <x:f>IF(F764&gt;200,"Large Order","Standard Order")</x:f>
        <x:v>Standard Order</x:v>
      </x:c>
    </x:row>
    <x:row r="765">
      <x:c r="A765" t="str">
        <x:v>Barr Faughny</x:v>
      </x:c>
      <x:c r="B765" t="str">
        <x:v>Australia</x:v>
      </x:c>
      <x:c r="C765" t="str">
        <x:v>85% Dark Bars</x:v>
      </x:c>
      <x:c r="D765" s="14" t="n">
        <x:v>44602</x:v>
      </x:c>
      <x:c r="E765" s="16" t="n">
        <x:v>8498</x:v>
      </x:c>
      <x:c r="F765" s="18" t="n">
        <x:v>44</x:v>
      </x:c>
      <x:c r="G765" s="20" t="n">
        <x:f>IFERROR(E765/F765,0)</x:f>
        <x:v>193.13636363636363</x:v>
      </x:c>
      <x:c r="H765" t="str">
        <x:f>TEXT(D765,"mmm")</x:f>
        <x:v>Feb</x:v>
      </x:c>
      <x:c r="I765" s="22" t="n">
        <x:f>MONTH(D765)</x:f>
        <x:v>2</x:v>
      </x:c>
      <x:c r="J765" s="22" t="n">
        <x:f>YEAR(D765)</x:f>
        <x:v>2022</x:v>
      </x:c>
      <x:c r="K765" t="str">
        <x:f>IF(F765&gt;200,"Large Order","Standard Order")</x:f>
        <x:v>Standard Order</x:v>
      </x:c>
    </x:row>
    <x:row r="766">
      <x:c r="A766" t="str">
        <x:v>Beverie Moffet</x:v>
      </x:c>
      <x:c r="B766" t="str">
        <x:v>Australia</x:v>
      </x:c>
      <x:c r="C766" t="str">
        <x:v>50% Dark Bites</x:v>
      </x:c>
      <x:c r="D766" s="14" t="n">
        <x:v>44697</x:v>
      </x:c>
      <x:c r="E766" s="16" t="n">
        <x:v>700</x:v>
      </x:c>
      <x:c r="F766" s="18" t="n">
        <x:v>457</x:v>
      </x:c>
      <x:c r="G766" s="20" t="n">
        <x:f>IFERROR(E766/F766,0)</x:f>
        <x:v>1.5317286652078774</x:v>
      </x:c>
      <x:c r="H766" t="str">
        <x:f>TEXT(D766,"mmm")</x:f>
        <x:v>May</x:v>
      </x:c>
      <x:c r="I766" s="22" t="n">
        <x:f>MONTH(D766)</x:f>
        <x:v>5</x:v>
      </x:c>
      <x:c r="J766" s="22" t="n">
        <x:f>YEAR(D766)</x:f>
        <x:v>2022</x:v>
      </x:c>
      <x:c r="K766" t="str">
        <x:f>IF(F766&gt;200,"Large Order","Standard Order")</x:f>
        <x:v>Large Order</x:v>
      </x:c>
    </x:row>
    <x:row r="767">
      <x:c r="A767" t="str">
        <x:v>Gunar Cockshoot</x:v>
      </x:c>
      <x:c r="B767" t="str">
        <x:v>India</x:v>
      </x:c>
      <x:c r="C767" t="str">
        <x:v>Baker's Choco Chips</x:v>
      </x:c>
      <x:c r="D767" s="14" t="n">
        <x:v>44638</x:v>
      </x:c>
      <x:c r="E767" s="16" t="n">
        <x:v>2191</x:v>
      </x:c>
      <x:c r="F767" s="18" t="n">
        <x:v>524</x:v>
      </x:c>
      <x:c r="G767" s="20" t="n">
        <x:f>IFERROR(E767/F767,0)</x:f>
        <x:v>4.181297709923665</x:v>
      </x:c>
      <x:c r="H767" t="str">
        <x:f>TEXT(D767,"mmm")</x:f>
        <x:v>Mar</x:v>
      </x:c>
      <x:c r="I767" s="22" t="n">
        <x:f>MONTH(D767)</x:f>
        <x:v>3</x:v>
      </x:c>
      <x:c r="J767" s="22" t="n">
        <x:f>YEAR(D767)</x:f>
        <x:v>2022</x:v>
      </x:c>
      <x:c r="K767" t="str">
        <x:f>IF(F767&gt;200,"Large Order","Standard Order")</x:f>
        <x:v>Large Order</x:v>
      </x:c>
    </x:row>
    <x:row r="768">
      <x:c r="A768" t="str">
        <x:v>Van Tuxwell</x:v>
      </x:c>
      <x:c r="B768" t="str">
        <x:v>Australia</x:v>
      </x:c>
      <x:c r="C768" t="str">
        <x:v>50% Dark Bites</x:v>
      </x:c>
      <x:c r="D768" s="14" t="n">
        <x:v>44755</x:v>
      </x:c>
      <x:c r="E768" s="16" t="n">
        <x:v>644</x:v>
      </x:c>
      <x:c r="F768" s="18" t="n">
        <x:v>137</x:v>
      </x:c>
      <x:c r="G768" s="20" t="n">
        <x:f>IFERROR(E768/F768,0)</x:f>
        <x:v>4.700729927007299</x:v>
      </x:c>
      <x:c r="H768" t="str">
        <x:f>TEXT(D768,"mmm")</x:f>
        <x:v>Jul</x:v>
      </x:c>
      <x:c r="I768" s="22" t="n">
        <x:f>MONTH(D768)</x:f>
        <x:v>7</x:v>
      </x:c>
      <x:c r="J768" s="22" t="n">
        <x:f>YEAR(D768)</x:f>
        <x:v>2022</x:v>
      </x:c>
      <x:c r="K768" t="str">
        <x:f>IF(F768&gt;200,"Large Order","Standard Order")</x:f>
        <x:v>Standard Order</x:v>
      </x:c>
    </x:row>
    <x:row r="769">
      <x:c r="A769" t="str">
        <x:v>Oby Sorrel</x:v>
      </x:c>
      <x:c r="B769" t="str">
        <x:v>USA</x:v>
      </x:c>
      <x:c r="C769" t="str">
        <x:v>Manuka Honey Choco</x:v>
      </x:c>
      <x:c r="D769" s="14" t="n">
        <x:v>44767</x:v>
      </x:c>
      <x:c r="E769" s="16" t="n">
        <x:v>4340</x:v>
      </x:c>
      <x:c r="F769" s="18" t="n">
        <x:v>86</x:v>
      </x:c>
      <x:c r="G769" s="20" t="n">
        <x:f>IFERROR(E769/F769,0)</x:f>
        <x:v>50.46511627906977</x:v>
      </x:c>
      <x:c r="H769" t="str">
        <x:f>TEXT(D769,"mmm")</x:f>
        <x:v>Jul</x:v>
      </x:c>
      <x:c r="I769" s="22" t="n">
        <x:f>MONTH(D769)</x:f>
        <x:v>7</x:v>
      </x:c>
      <x:c r="J769" s="22" t="n">
        <x:f>YEAR(D769)</x:f>
        <x:v>2022</x:v>
      </x:c>
      <x:c r="K769" t="str">
        <x:f>IF(F769&gt;200,"Large Order","Standard Order")</x:f>
        <x:v>Standard Order</x:v>
      </x:c>
    </x:row>
    <x:row r="770">
      <x:c r="A770" t="str">
        <x:v>Van Tuxwell</x:v>
      </x:c>
      <x:c r="B770" t="str">
        <x:v>Canada</x:v>
      </x:c>
      <x:c r="C770" t="str">
        <x:v>Choco Coated Almonds</x:v>
      </x:c>
      <x:c r="D770" s="14" t="n">
        <x:v>44792</x:v>
      </x:c>
      <x:c r="E770" s="16" t="n">
        <x:v>2282</x:v>
      </x:c>
      <x:c r="F770" s="18" t="n">
        <x:v>296</x:v>
      </x:c>
      <x:c r="G770" s="20" t="n">
        <x:f>IFERROR(E770/F770,0)</x:f>
        <x:v>7.70945945945946</x:v>
      </x:c>
      <x:c r="H770" t="str">
        <x:f>TEXT(D770,"mmm")</x:f>
        <x:v>Aug</x:v>
      </x:c>
      <x:c r="I770" s="22" t="n">
        <x:f>MONTH(D770)</x:f>
        <x:v>8</x:v>
      </x:c>
      <x:c r="J770" s="22" t="n">
        <x:f>YEAR(D770)</x:f>
        <x:v>2022</x:v>
      </x:c>
      <x:c r="K770" t="str">
        <x:f>IF(F770&gt;200,"Large Order","Standard Order")</x:f>
        <x:v>Large Order</x:v>
      </x:c>
    </x:row>
    <x:row r="771">
      <x:c r="A771" t="str">
        <x:v>Karlen McCaffrey</x:v>
      </x:c>
      <x:c r="B771" t="str">
        <x:v>Canada</x:v>
      </x:c>
      <x:c r="C771" t="str">
        <x:v>70% Dark Bites</x:v>
      </x:c>
      <x:c r="D771" s="14" t="n">
        <x:v>44736</x:v>
      </x:c>
      <x:c r="E771" s="16" t="n">
        <x:v>7714</x:v>
      </x:c>
      <x:c r="F771" s="18" t="n">
        <x:v>597</x:v>
      </x:c>
      <x:c r="G771" s="20" t="n">
        <x:f>IFERROR(E771/F771,0)</x:f>
        <x:v>12.921273031825796</x:v>
      </x:c>
      <x:c r="H771" t="str">
        <x:f>TEXT(D771,"mmm")</x:f>
        <x:v>Jun</x:v>
      </x:c>
      <x:c r="I771" s="22" t="n">
        <x:f>MONTH(D771)</x:f>
        <x:v>6</x:v>
      </x:c>
      <x:c r="J771" s="22" t="n">
        <x:f>YEAR(D771)</x:f>
        <x:v>2022</x:v>
      </x:c>
      <x:c r="K771" t="str">
        <x:f>IF(F771&gt;200,"Large Order","Standard Order")</x:f>
        <x:v>Large Order</x:v>
      </x:c>
    </x:row>
    <x:row r="772">
      <x:c r="A772" t="str">
        <x:v>Kelci Walkden</x:v>
      </x:c>
      <x:c r="B772" t="str">
        <x:v>Canada</x:v>
      </x:c>
      <x:c r="C772" t="str">
        <x:v>Fruit &amp; Nut Bars</x:v>
      </x:c>
      <x:c r="D772" s="14" t="n">
        <x:v>44732</x:v>
      </x:c>
      <x:c r="E772" s="16" t="n">
        <x:v>826</x:v>
      </x:c>
      <x:c r="F772" s="18" t="n">
        <x:v>149</x:v>
      </x:c>
      <x:c r="G772" s="20" t="n">
        <x:f>IFERROR(E772/F772,0)</x:f>
        <x:v>5.543624161073826</x:v>
      </x:c>
      <x:c r="H772" t="str">
        <x:f>TEXT(D772,"mmm")</x:f>
        <x:v>Jun</x:v>
      </x:c>
      <x:c r="I772" s="22" t="n">
        <x:f>MONTH(D772)</x:f>
        <x:v>6</x:v>
      </x:c>
      <x:c r="J772" s="22" t="n">
        <x:f>YEAR(D772)</x:f>
        <x:v>2022</x:v>
      </x:c>
      <x:c r="K772" t="str">
        <x:f>IF(F772&gt;200,"Large Order","Standard Order")</x:f>
        <x:v>Standard Order</x:v>
      </x:c>
    </x:row>
    <x:row r="773">
      <x:c r="A773" t="str">
        <x:v>Camilla Castle</x:v>
      </x:c>
      <x:c r="B773" t="str">
        <x:v>India</x:v>
      </x:c>
      <x:c r="C773" t="str">
        <x:v>99% Dark &amp; Pure</x:v>
      </x:c>
      <x:c r="D773" s="14" t="n">
        <x:v>44775</x:v>
      </x:c>
      <x:c r="E773" s="16" t="n">
        <x:v>203</x:v>
      </x:c>
      <x:c r="F773" s="18" t="n">
        <x:v>207</x:v>
      </x:c>
      <x:c r="G773" s="20" t="n">
        <x:f>IFERROR(E773/F773,0)</x:f>
        <x:v>0.9806763285024155</x:v>
      </x:c>
      <x:c r="H773" t="str">
        <x:f>TEXT(D773,"mmm")</x:f>
        <x:v>Aug</x:v>
      </x:c>
      <x:c r="I773" s="22" t="n">
        <x:f>MONTH(D773)</x:f>
        <x:v>8</x:v>
      </x:c>
      <x:c r="J773" s="22" t="n">
        <x:f>YEAR(D773)</x:f>
        <x:v>2022</x:v>
      </x:c>
      <x:c r="K773" t="str">
        <x:f>IF(F773&gt;200,"Large Order","Standard Order")</x:f>
        <x:v>Large Order</x:v>
      </x:c>
    </x:row>
    <x:row r="774">
      <x:c r="A774" t="str">
        <x:v>Madelene Upcott</x:v>
      </x:c>
      <x:c r="B774" t="str">
        <x:v>New Zealand</x:v>
      </x:c>
      <x:c r="C774" t="str">
        <x:v>70% Dark Bites</x:v>
      </x:c>
      <x:c r="D774" s="14" t="n">
        <x:v>44614</x:v>
      </x:c>
      <x:c r="E774" s="16" t="n">
        <x:v>13356</x:v>
      </x:c>
      <x:c r="F774" s="18" t="n">
        <x:v>93</x:v>
      </x:c>
      <x:c r="G774" s="20" t="n">
        <x:f>IFERROR(E774/F774,0)</x:f>
        <x:v>143.61290322580646</x:v>
      </x:c>
      <x:c r="H774" t="str">
        <x:f>TEXT(D774,"mmm")</x:f>
        <x:v>Feb</x:v>
      </x:c>
      <x:c r="I774" s="22" t="n">
        <x:f>MONTH(D774)</x:f>
        <x:v>2</x:v>
      </x:c>
      <x:c r="J774" s="22" t="n">
        <x:f>YEAR(D774)</x:f>
        <x:v>2022</x:v>
      </x:c>
      <x:c r="K774" t="str">
        <x:f>IF(F774&gt;200,"Large Order","Standard Order")</x:f>
        <x:v>Standard Order</x:v>
      </x:c>
    </x:row>
    <x:row r="775">
      <x:c r="A775" t="str">
        <x:v>Mallorie Waber</x:v>
      </x:c>
      <x:c r="B775" t="str">
        <x:v>New Zealand</x:v>
      </x:c>
      <x:c r="C775" t="str">
        <x:v>Orange Choco</x:v>
      </x:c>
      <x:c r="D775" s="14" t="n">
        <x:v>44593</x:v>
      </x:c>
      <x:c r="E775" s="16" t="n">
        <x:v>6510</x:v>
      </x:c>
      <x:c r="F775" s="18" t="n">
        <x:v>23</x:v>
      </x:c>
      <x:c r="G775" s="20" t="n">
        <x:f>IFERROR(E775/F775,0)</x:f>
        <x:v>283.04347826086956</x:v>
      </x:c>
      <x:c r="H775" t="str">
        <x:f>TEXT(D775,"mmm")</x:f>
        <x:v>Feb</x:v>
      </x:c>
      <x:c r="I775" s="22" t="n">
        <x:f>MONTH(D775)</x:f>
        <x:v>2</x:v>
      </x:c>
      <x:c r="J775" s="22" t="n">
        <x:f>YEAR(D775)</x:f>
        <x:v>2022</x:v>
      </x:c>
      <x:c r="K775" t="str">
        <x:f>IF(F775&gt;200,"Large Order","Standard Order")</x:f>
        <x:v>Standard Order</x:v>
      </x:c>
    </x:row>
    <x:row r="776">
      <x:c r="A776" t="str">
        <x:v>Jan Morforth</x:v>
      </x:c>
      <x:c r="B776" t="str">
        <x:v>Canada</x:v>
      </x:c>
      <x:c r="C776" t="str">
        <x:v>70% Dark Bites</x:v>
      </x:c>
      <x:c r="D776" s="14" t="n">
        <x:v>44606</x:v>
      </x:c>
      <x:c r="E776" s="16" t="n">
        <x:v>5894</x:v>
      </x:c>
      <x:c r="F776" s="18" t="n">
        <x:v>305</x:v>
      </x:c>
      <x:c r="G776" s="20" t="n">
        <x:f>IFERROR(E776/F776,0)</x:f>
        <x:v>19.324590163934428</x:v>
      </x:c>
      <x:c r="H776" t="str">
        <x:f>TEXT(D776,"mmm")</x:f>
        <x:v>Feb</x:v>
      </x:c>
      <x:c r="I776" s="22" t="n">
        <x:f>MONTH(D776)</x:f>
        <x:v>2</x:v>
      </x:c>
      <x:c r="J776" s="22" t="n">
        <x:f>YEAR(D776)</x:f>
        <x:v>2022</x:v>
      </x:c>
      <x:c r="K776" t="str">
        <x:f>IF(F776&gt;200,"Large Order","Standard Order")</x:f>
        <x:v>Large Order</x:v>
      </x:c>
    </x:row>
    <x:row r="777">
      <x:c r="A777" t="str">
        <x:v>Kelci Walkden</x:v>
      </x:c>
      <x:c r="B777" t="str">
        <x:v>Australia</x:v>
      </x:c>
      <x:c r="C777" t="str">
        <x:v>Milk Bars</x:v>
      </x:c>
      <x:c r="D777" s="14" t="n">
        <x:v>44616</x:v>
      </x:c>
      <x:c r="E777" s="16" t="n">
        <x:v>7910</x:v>
      </x:c>
      <x:c r="F777" s="18" t="n">
        <x:v>125</x:v>
      </x:c>
      <x:c r="G777" s="20" t="n">
        <x:f>IFERROR(E777/F777,0)</x:f>
        <x:v>63.28</x:v>
      </x:c>
      <x:c r="H777" t="str">
        <x:f>TEXT(D777,"mmm")</x:f>
        <x:v>Feb</x:v>
      </x:c>
      <x:c r="I777" s="22" t="n">
        <x:f>MONTH(D777)</x:f>
        <x:v>2</x:v>
      </x:c>
      <x:c r="J777" s="22" t="n">
        <x:f>YEAR(D777)</x:f>
        <x:v>2022</x:v>
      </x:c>
      <x:c r="K777" t="str">
        <x:f>IF(F777&gt;200,"Large Order","Standard Order")</x:f>
        <x:v>Standard Order</x:v>
      </x:c>
    </x:row>
    <x:row r="778">
      <x:c r="A778" t="str">
        <x:v>Dennison Crosswaite</x:v>
      </x:c>
      <x:c r="B778" t="str">
        <x:v>India</x:v>
      </x:c>
      <x:c r="C778" t="str">
        <x:v>Orange Choco</x:v>
      </x:c>
      <x:c r="D778" s="14" t="n">
        <x:v>44638</x:v>
      </x:c>
      <x:c r="E778" s="16" t="n">
        <x:v>784</x:v>
      </x:c>
      <x:c r="F778" s="18" t="n">
        <x:v>129</x:v>
      </x:c>
      <x:c r="G778" s="20" t="n">
        <x:f>IFERROR(E778/F778,0)</x:f>
        <x:v>6.077519379844961</x:v>
      </x:c>
      <x:c r="H778" t="str">
        <x:f>TEXT(D778,"mmm")</x:f>
        <x:v>Mar</x:v>
      </x:c>
      <x:c r="I778" s="22" t="n">
        <x:f>MONTH(D778)</x:f>
        <x:v>3</x:v>
      </x:c>
      <x:c r="J778" s="22" t="n">
        <x:f>YEAR(D778)</x:f>
        <x:v>2022</x:v>
      </x:c>
      <x:c r="K778" t="str">
        <x:f>IF(F778&gt;200,"Large Order","Standard Order")</x:f>
        <x:v>Standard Order</x:v>
      </x:c>
    </x:row>
    <x:row r="779">
      <x:c r="A779" t="str">
        <x:v>Husein Augar</x:v>
      </x:c>
      <x:c r="B779" t="str">
        <x:v>UK</x:v>
      </x:c>
      <x:c r="C779" t="str">
        <x:v>Eclairs</x:v>
      </x:c>
      <x:c r="D779" s="14" t="n">
        <x:v>44803</x:v>
      </x:c>
      <x:c r="E779" s="16" t="n">
        <x:v>1750</x:v>
      </x:c>
      <x:c r="F779" s="18" t="n">
        <x:v>252</x:v>
      </x:c>
      <x:c r="G779" s="20" t="n">
        <x:f>IFERROR(E779/F779,0)</x:f>
        <x:v>6.944444444444445</x:v>
      </x:c>
      <x:c r="H779" t="str">
        <x:f>TEXT(D779,"mmm")</x:f>
        <x:v>Aug</x:v>
      </x:c>
      <x:c r="I779" s="22" t="n">
        <x:f>MONTH(D779)</x:f>
        <x:v>8</x:v>
      </x:c>
      <x:c r="J779" s="22" t="n">
        <x:f>YEAR(D779)</x:f>
        <x:v>2022</x:v>
      </x:c>
      <x:c r="K779" t="str">
        <x:f>IF(F779&gt;200,"Large Order","Standard Order")</x:f>
        <x:v>Large Order</x:v>
      </x:c>
    </x:row>
    <x:row r="780">
      <x:c r="A780" t="str">
        <x:v>Gigi Bohling</x:v>
      </x:c>
      <x:c r="B780" t="str">
        <x:v>USA</x:v>
      </x:c>
      <x:c r="C780" t="str">
        <x:v>Peanut Butter Cubes</x:v>
      </x:c>
      <x:c r="D780" s="14" t="n">
        <x:v>44690</x:v>
      </x:c>
      <x:c r="E780" s="16" t="n">
        <x:v>280</x:v>
      </x:c>
      <x:c r="F780" s="18" t="n">
        <x:v>75</x:v>
      </x:c>
      <x:c r="G780" s="20" t="n">
        <x:f>IFERROR(E780/F780,0)</x:f>
        <x:v>3.7333333333333334</x:v>
      </x:c>
      <x:c r="H780" t="str">
        <x:f>TEXT(D780,"mmm")</x:f>
        <x:v>May</x:v>
      </x:c>
      <x:c r="I780" s="22" t="n">
        <x:f>MONTH(D780)</x:f>
        <x:v>5</x:v>
      </x:c>
      <x:c r="J780" s="22" t="n">
        <x:f>YEAR(D780)</x:f>
        <x:v>2022</x:v>
      </x:c>
      <x:c r="K780" t="str">
        <x:f>IF(F780&gt;200,"Large Order","Standard Order")</x:f>
        <x:v>Standard Order</x:v>
      </x:c>
    </x:row>
    <x:row r="781">
      <x:c r="A781" t="str">
        <x:v>Wilone O'Kielt</x:v>
      </x:c>
      <x:c r="B781" t="str">
        <x:v>USA</x:v>
      </x:c>
      <x:c r="C781" t="str">
        <x:v>Smooth Silky Salty</x:v>
      </x:c>
      <x:c r="D781" s="14" t="n">
        <x:v>44579</x:v>
      </x:c>
      <x:c r="E781" s="16" t="n">
        <x:v>504</x:v>
      </x:c>
      <x:c r="F781" s="18" t="n">
        <x:v>87</x:v>
      </x:c>
      <x:c r="G781" s="20" t="n">
        <x:f>IFERROR(E781/F781,0)</x:f>
        <x:v>5.793103448275862</x:v>
      </x:c>
      <x:c r="H781" t="str">
        <x:f>TEXT(D781,"mmm")</x:f>
        <x:v>Jan</x:v>
      </x:c>
      <x:c r="I781" s="22" t="n">
        <x:f>MONTH(D781)</x:f>
        <x:v>1</x:v>
      </x:c>
      <x:c r="J781" s="22" t="n">
        <x:f>YEAR(D781)</x:f>
        <x:v>2022</x:v>
      </x:c>
      <x:c r="K781" t="str">
        <x:f>IF(F781&gt;200,"Large Order","Standard Order")</x:f>
        <x:v>Standard Order</x:v>
      </x:c>
    </x:row>
    <x:row r="782">
      <x:c r="A782" t="str">
        <x:v>Curtice Advani</x:v>
      </x:c>
      <x:c r="B782" t="str">
        <x:v>India</x:v>
      </x:c>
      <x:c r="C782" t="str">
        <x:v>White Choc</x:v>
      </x:c>
      <x:c r="D782" s="14" t="n">
        <x:v>44746</x:v>
      </x:c>
      <x:c r="E782" s="16" t="n">
        <x:v>7154</x:v>
      </x:c>
      <x:c r="F782" s="18" t="n">
        <x:v>342</x:v>
      </x:c>
      <x:c r="G782" s="20" t="n">
        <x:f>IFERROR(E782/F782,0)</x:f>
        <x:v>20.91812865497076</x:v>
      </x:c>
      <x:c r="H782" t="str">
        <x:f>TEXT(D782,"mmm")</x:f>
        <x:v>Jul</x:v>
      </x:c>
      <x:c r="I782" s="22" t="n">
        <x:f>MONTH(D782)</x:f>
        <x:v>7</x:v>
      </x:c>
      <x:c r="J782" s="22" t="n">
        <x:f>YEAR(D782)</x:f>
        <x:v>2022</x:v>
      </x:c>
      <x:c r="K782" t="str">
        <x:f>IF(F782&gt;200,"Large Order","Standard Order")</x:f>
        <x:v>Large Order</x:v>
      </x:c>
    </x:row>
    <x:row r="783">
      <x:c r="A783" t="str">
        <x:v>Oby Sorrel</x:v>
      </x:c>
      <x:c r="B783" t="str">
        <x:v>New Zealand</x:v>
      </x:c>
      <x:c r="C783" t="str">
        <x:v>Spicy Special Slims</x:v>
      </x:c>
      <x:c r="D783" s="14" t="n">
        <x:v>44715</x:v>
      </x:c>
      <x:c r="E783" s="16" t="n">
        <x:v>1617</x:v>
      </x:c>
      <x:c r="F783" s="18" t="n">
        <x:v>13</x:v>
      </x:c>
      <x:c r="G783" s="20" t="n">
        <x:f>IFERROR(E783/F783,0)</x:f>
        <x:v>124.38461538461539</x:v>
      </x:c>
      <x:c r="H783" t="str">
        <x:f>TEXT(D783,"mmm")</x:f>
        <x:v>Jun</x:v>
      </x:c>
      <x:c r="I783" s="22" t="n">
        <x:f>MONTH(D783)</x:f>
        <x:v>6</x:v>
      </x:c>
      <x:c r="J783" s="22" t="n">
        <x:f>YEAR(D783)</x:f>
        <x:v>2022</x:v>
      </x:c>
      <x:c r="K783" t="str">
        <x:f>IF(F783&gt;200,"Large Order","Standard Order")</x:f>
        <x:v>Standard Order</x:v>
      </x:c>
    </x:row>
    <x:row r="784">
      <x:c r="A784" t="str">
        <x:v>Beverie Moffet</x:v>
      </x:c>
      <x:c r="B784" t="str">
        <x:v>New Zealand</x:v>
      </x:c>
      <x:c r="C784" t="str">
        <x:v>Peanut Butter Cubes</x:v>
      </x:c>
      <x:c r="D784" s="14" t="n">
        <x:v>44615</x:v>
      </x:c>
      <x:c r="E784" s="16" t="n">
        <x:v>10822</x:v>
      </x:c>
      <x:c r="F784" s="18" t="n">
        <x:v>30</x:v>
      </x:c>
      <x:c r="G784" s="20" t="n">
        <x:f>IFERROR(E784/F784,0)</x:f>
        <x:v>360.73333333333335</x:v>
      </x:c>
      <x:c r="H784" t="str">
        <x:f>TEXT(D784,"mmm")</x:f>
        <x:v>Feb</x:v>
      </x:c>
      <x:c r="I784" s="22" t="n">
        <x:f>MONTH(D784)</x:f>
        <x:v>2</x:v>
      </x:c>
      <x:c r="J784" s="22" t="n">
        <x:f>YEAR(D784)</x:f>
        <x:v>2022</x:v>
      </x:c>
      <x:c r="K784" t="str">
        <x:f>IF(F784&gt;200,"Large Order","Standard Order")</x:f>
        <x:v>Standard Order</x:v>
      </x:c>
    </x:row>
    <x:row r="785">
      <x:c r="A785" t="str">
        <x:v>Dotty Strutley</x:v>
      </x:c>
      <x:c r="B785" t="str">
        <x:v>New Zealand</x:v>
      </x:c>
      <x:c r="C785" t="str">
        <x:v>99% Dark &amp; Pure</x:v>
      </x:c>
      <x:c r="D785" s="14" t="n">
        <x:v>44690</x:v>
      </x:c>
      <x:c r="E785" s="16" t="n">
        <x:v>10724</x:v>
      </x:c>
      <x:c r="F785" s="18" t="n">
        <x:v>203</x:v>
      </x:c>
      <x:c r="G785" s="20" t="n">
        <x:f>IFERROR(E785/F785,0)</x:f>
        <x:v>52.827586206896555</x:v>
      </x:c>
      <x:c r="H785" t="str">
        <x:f>TEXT(D785,"mmm")</x:f>
        <x:v>May</x:v>
      </x:c>
      <x:c r="I785" s="22" t="n">
        <x:f>MONTH(D785)</x:f>
        <x:v>5</x:v>
      </x:c>
      <x:c r="J785" s="22" t="n">
        <x:f>YEAR(D785)</x:f>
        <x:v>2022</x:v>
      </x:c>
      <x:c r="K785" t="str">
        <x:f>IF(F785&gt;200,"Large Order","Standard Order")</x:f>
        <x:v>Large Order</x:v>
      </x:c>
    </x:row>
    <x:row r="786">
      <x:c r="A786" t="str">
        <x:v>Kelci Walkden</x:v>
      </x:c>
      <x:c r="B786" t="str">
        <x:v>India</x:v>
      </x:c>
      <x:c r="C786" t="str">
        <x:v>70% Dark Bites</x:v>
      </x:c>
      <x:c r="D786" s="14" t="n">
        <x:v>44718</x:v>
      </x:c>
      <x:c r="E786" s="16" t="n">
        <x:v>3640</x:v>
      </x:c>
      <x:c r="F786" s="18" t="n">
        <x:v>106</x:v>
      </x:c>
      <x:c r="G786" s="20" t="n">
        <x:f>IFERROR(E786/F786,0)</x:f>
        <x:v>34.339622641509436</x:v>
      </x:c>
      <x:c r="H786" t="str">
        <x:f>TEXT(D786,"mmm")</x:f>
        <x:v>Jun</x:v>
      </x:c>
      <x:c r="I786" s="22" t="n">
        <x:f>MONTH(D786)</x:f>
        <x:v>6</x:v>
      </x:c>
      <x:c r="J786" s="22" t="n">
        <x:f>YEAR(D786)</x:f>
        <x:v>2022</x:v>
      </x:c>
      <x:c r="K786" t="str">
        <x:f>IF(F786&gt;200,"Large Order","Standard Order")</x:f>
        <x:v>Standard Order</x:v>
      </x:c>
    </x:row>
    <x:row r="787">
      <x:c r="A787" t="str">
        <x:v>Kelci Walkden</x:v>
      </x:c>
      <x:c r="B787" t="str">
        <x:v>India</x:v>
      </x:c>
      <x:c r="C787" t="str">
        <x:v>Drinking Coco</x:v>
      </x:c>
      <x:c r="D787" s="14" t="n">
        <x:v>44746</x:v>
      </x:c>
      <x:c r="E787" s="16" t="n">
        <x:v>7532</x:v>
      </x:c>
      <x:c r="F787" s="18" t="n">
        <x:v>234</x:v>
      </x:c>
      <x:c r="G787" s="20" t="n">
        <x:f>IFERROR(E787/F787,0)</x:f>
        <x:v>32.18803418803419</x:v>
      </x:c>
      <x:c r="H787" t="str">
        <x:f>TEXT(D787,"mmm")</x:f>
        <x:v>Jul</x:v>
      </x:c>
      <x:c r="I787" s="22" t="n">
        <x:f>MONTH(D787)</x:f>
        <x:v>7</x:v>
      </x:c>
      <x:c r="J787" s="22" t="n">
        <x:f>YEAR(D787)</x:f>
        <x:v>2022</x:v>
      </x:c>
      <x:c r="K787" t="str">
        <x:f>IF(F787&gt;200,"Large Order","Standard Order")</x:f>
        <x:v>Large Order</x:v>
      </x:c>
    </x:row>
    <x:row r="788">
      <x:c r="A788" t="str">
        <x:v>Brien Boise</x:v>
      </x:c>
      <x:c r="B788" t="str">
        <x:v>New Zealand</x:v>
      </x:c>
      <x:c r="C788" t="str">
        <x:v>Drinking Coco</x:v>
      </x:c>
      <x:c r="D788" s="14" t="n">
        <x:v>44718</x:v>
      </x:c>
      <x:c r="E788" s="16" t="n">
        <x:v>1582</x:v>
      </x:c>
      <x:c r="F788" s="18" t="n">
        <x:v>100</x:v>
      </x:c>
      <x:c r="G788" s="20" t="n">
        <x:f>IFERROR(E788/F788,0)</x:f>
        <x:v>15.82</x:v>
      </x:c>
      <x:c r="H788" t="str">
        <x:f>TEXT(D788,"mmm")</x:f>
        <x:v>Jun</x:v>
      </x:c>
      <x:c r="I788" s="22" t="n">
        <x:f>MONTH(D788)</x:f>
        <x:v>6</x:v>
      </x:c>
      <x:c r="J788" s="22" t="n">
        <x:f>YEAR(D788)</x:f>
        <x:v>2022</x:v>
      </x:c>
      <x:c r="K788" t="str">
        <x:f>IF(F788&gt;200,"Large Order","Standard Order")</x:f>
        <x:v>Standard Order</x:v>
      </x:c>
    </x:row>
    <x:row r="789">
      <x:c r="A789" t="str">
        <x:v>Dotty Strutley</x:v>
      </x:c>
      <x:c r="B789" t="str">
        <x:v>Australia</x:v>
      </x:c>
      <x:c r="C789" t="str">
        <x:v>Almond Choco</x:v>
      </x:c>
      <x:c r="D789" s="14" t="n">
        <x:v>44694</x:v>
      </x:c>
      <x:c r="E789" s="16" t="n">
        <x:v>1456</x:v>
      </x:c>
      <x:c r="F789" s="18" t="n">
        <x:v>91</x:v>
      </x:c>
      <x:c r="G789" s="20" t="n">
        <x:f>IFERROR(E789/F789,0)</x:f>
        <x:v>16</x:v>
      </x:c>
      <x:c r="H789" t="str">
        <x:f>TEXT(D789,"mmm")</x:f>
        <x:v>May</x:v>
      </x:c>
      <x:c r="I789" s="22" t="n">
        <x:f>MONTH(D789)</x:f>
        <x:v>5</x:v>
      </x:c>
      <x:c r="J789" s="22" t="n">
        <x:f>YEAR(D789)</x:f>
        <x:v>2022</x:v>
      </x:c>
      <x:c r="K789" t="str">
        <x:f>IF(F789&gt;200,"Large Order","Standard Order")</x:f>
        <x:v>Standard Order</x:v>
      </x:c>
    </x:row>
    <x:row r="790">
      <x:c r="A790" t="str">
        <x:v>Wilone O'Kielt</x:v>
      </x:c>
      <x:c r="B790" t="str">
        <x:v>New Zealand</x:v>
      </x:c>
      <x:c r="C790" t="str">
        <x:v>Organic Choco Syrup</x:v>
      </x:c>
      <x:c r="D790" s="14" t="n">
        <x:v>44592</x:v>
      </x:c>
      <x:c r="E790" s="16" t="n">
        <x:v>2016</x:v>
      </x:c>
      <x:c r="F790" s="18" t="n">
        <x:v>277</x:v>
      </x:c>
      <x:c r="G790" s="20" t="n">
        <x:f>IFERROR(E790/F790,0)</x:f>
        <x:v>7.277978339350181</x:v>
      </x:c>
      <x:c r="H790" t="str">
        <x:f>TEXT(D790,"mmm")</x:f>
        <x:v>Jan</x:v>
      </x:c>
      <x:c r="I790" s="22" t="n">
        <x:f>MONTH(D790)</x:f>
        <x:v>1</x:v>
      </x:c>
      <x:c r="J790" s="22" t="n">
        <x:f>YEAR(D790)</x:f>
        <x:v>2022</x:v>
      </x:c>
      <x:c r="K790" t="str">
        <x:f>IF(F790&gt;200,"Large Order","Standard Order")</x:f>
        <x:v>Large Order</x:v>
      </x:c>
    </x:row>
    <x:row r="791">
      <x:c r="A791" t="str">
        <x:v>Ches Bonnell</x:v>
      </x:c>
      <x:c r="B791" t="str">
        <x:v>New Zealand</x:v>
      </x:c>
      <x:c r="C791" t="str">
        <x:v>Caramel Stuffed Bars</x:v>
      </x:c>
      <x:c r="D791" s="14" t="n">
        <x:v>44742</x:v>
      </x:c>
      <x:c r="E791" s="16" t="n">
        <x:v>7588</x:v>
      </x:c>
      <x:c r="F791" s="18" t="n">
        <x:v>42</x:v>
      </x:c>
      <x:c r="G791" s="20" t="n">
        <x:f>IFERROR(E791/F791,0)</x:f>
        <x:v>180.66666666666666</x:v>
      </x:c>
      <x:c r="H791" t="str">
        <x:f>TEXT(D791,"mmm")</x:f>
        <x:v>Jun</x:v>
      </x:c>
      <x:c r="I791" s="22" t="n">
        <x:f>MONTH(D791)</x:f>
        <x:v>6</x:v>
      </x:c>
      <x:c r="J791" s="22" t="n">
        <x:f>YEAR(D791)</x:f>
        <x:v>2022</x:v>
      </x:c>
      <x:c r="K791" t="str">
        <x:f>IF(F791&gt;200,"Large Order","Standard Order")</x:f>
        <x:v>Standard Order</x:v>
      </x:c>
    </x:row>
    <x:row r="792">
      <x:c r="A792" t="str">
        <x:v>Barr Faughny</x:v>
      </x:c>
      <x:c r="B792" t="str">
        <x:v>Canada</x:v>
      </x:c>
      <x:c r="C792" t="str">
        <x:v>Manuka Honey Choco</x:v>
      </x:c>
      <x:c r="D792" s="14" t="n">
        <x:v>44798</x:v>
      </x:c>
      <x:c r="E792" s="16" t="n">
        <x:v>3402</x:v>
      </x:c>
      <x:c r="F792" s="18" t="n">
        <x:v>249</x:v>
      </x:c>
      <x:c r="G792" s="20" t="n">
        <x:f>IFERROR(E792/F792,0)</x:f>
        <x:v>13.662650602409638</x:v>
      </x:c>
      <x:c r="H792" t="str">
        <x:f>TEXT(D792,"mmm")</x:f>
        <x:v>Aug</x:v>
      </x:c>
      <x:c r="I792" s="22" t="n">
        <x:f>MONTH(D792)</x:f>
        <x:v>8</x:v>
      </x:c>
      <x:c r="J792" s="22" t="n">
        <x:f>YEAR(D792)</x:f>
        <x:v>2022</x:v>
      </x:c>
      <x:c r="K792" t="str">
        <x:f>IF(F792&gt;200,"Large Order","Standard Order")</x:f>
        <x:v>Large Order</x:v>
      </x:c>
    </x:row>
    <x:row r="793">
      <x:c r="A793" t="str">
        <x:v>Gigi Bohling</x:v>
      </x:c>
      <x:c r="B793" t="str">
        <x:v>New Zealand</x:v>
      </x:c>
      <x:c r="C793" t="str">
        <x:v>Smooth Silky Salty</x:v>
      </x:c>
      <x:c r="D793" s="14" t="n">
        <x:v>44571</x:v>
      </x:c>
      <x:c r="E793" s="16" t="n">
        <x:v>700</x:v>
      </x:c>
      <x:c r="F793" s="18" t="n">
        <x:v>97</x:v>
      </x:c>
      <x:c r="G793" s="20" t="n">
        <x:f>IFERROR(E793/F793,0)</x:f>
        <x:v>7.216494845360825</x:v>
      </x:c>
      <x:c r="H793" t="str">
        <x:f>TEXT(D793,"mmm")</x:f>
        <x:v>Jan</x:v>
      </x:c>
      <x:c r="I793" s="22" t="n">
        <x:f>MONTH(D793)</x:f>
        <x:v>1</x:v>
      </x:c>
      <x:c r="J793" s="22" t="n">
        <x:f>YEAR(D793)</x:f>
        <x:v>2022</x:v>
      </x:c>
      <x:c r="K793" t="str">
        <x:f>IF(F793&gt;200,"Large Order","Standard Order")</x:f>
        <x:v>Standard Order</x:v>
      </x:c>
    </x:row>
    <x:row r="794">
      <x:c r="A794" t="str">
        <x:v>Brien Boise</x:v>
      </x:c>
      <x:c r="B794" t="str">
        <x:v>USA</x:v>
      </x:c>
      <x:c r="C794" t="str">
        <x:v>Manuka Honey Choco</x:v>
      </x:c>
      <x:c r="D794" s="14" t="n">
        <x:v>44795</x:v>
      </x:c>
      <x:c r="E794" s="16" t="n">
        <x:v>1904</x:v>
      </x:c>
      <x:c r="F794" s="18" t="n">
        <x:v>8</x:v>
      </x:c>
      <x:c r="G794" s="20" t="n">
        <x:f>IFERROR(E794/F794,0)</x:f>
        <x:v>238</x:v>
      </x:c>
      <x:c r="H794" t="str">
        <x:f>TEXT(D794,"mmm")</x:f>
        <x:v>Aug</x:v>
      </x:c>
      <x:c r="I794" s="22" t="n">
        <x:f>MONTH(D794)</x:f>
        <x:v>8</x:v>
      </x:c>
      <x:c r="J794" s="22" t="n">
        <x:f>YEAR(D794)</x:f>
        <x:v>2022</x:v>
      </x:c>
      <x:c r="K794" t="str">
        <x:f>IF(F794&gt;200,"Large Order","Standard Order")</x:f>
        <x:v>Standard Order</x:v>
      </x:c>
    </x:row>
    <x:row r="795">
      <x:c r="A795" t="str">
        <x:v>Roddy Speechley</x:v>
      </x:c>
      <x:c r="B795" t="str">
        <x:v>New Zealand</x:v>
      </x:c>
      <x:c r="C795" t="str">
        <x:v>85% Dark Bars</x:v>
      </x:c>
      <x:c r="D795" s="14" t="n">
        <x:v>44665</x:v>
      </x:c>
      <x:c r="E795" s="16" t="n">
        <x:v>4844</x:v>
      </x:c>
      <x:c r="F795" s="18" t="n">
        <x:v>275</x:v>
      </x:c>
      <x:c r="G795" s="20" t="n">
        <x:f>IFERROR(E795/F795,0)</x:f>
        <x:v>17.614545454545453</x:v>
      </x:c>
      <x:c r="H795" t="str">
        <x:f>TEXT(D795,"mmm")</x:f>
        <x:v>Apr</x:v>
      </x:c>
      <x:c r="I795" s="22" t="n">
        <x:f>MONTH(D795)</x:f>
        <x:v>4</x:v>
      </x:c>
      <x:c r="J795" s="22" t="n">
        <x:f>YEAR(D795)</x:f>
        <x:v>2022</x:v>
      </x:c>
      <x:c r="K795" t="str">
        <x:f>IF(F795&gt;200,"Large Order","Standard Order")</x:f>
        <x:v>Large Order</x:v>
      </x:c>
    </x:row>
    <x:row r="796">
      <x:c r="A796" t="str">
        <x:v>Oby Sorrel</x:v>
      </x:c>
      <x:c r="B796" t="str">
        <x:v>UK</x:v>
      </x:c>
      <x:c r="C796" t="str">
        <x:v>Smooth Silky Salty</x:v>
      </x:c>
      <x:c r="D796" s="14" t="n">
        <x:v>44712</x:v>
      </x:c>
      <x:c r="E796" s="16" t="n">
        <x:v>9625</x:v>
      </x:c>
      <x:c r="F796" s="18" t="n">
        <x:v>313</x:v>
      </x:c>
      <x:c r="G796" s="20" t="n">
        <x:f>IFERROR(E796/F796,0)</x:f>
        <x:v>30.750798722044728</x:v>
      </x:c>
      <x:c r="H796" t="str">
        <x:f>TEXT(D796,"mmm")</x:f>
        <x:v>May</x:v>
      </x:c>
      <x:c r="I796" s="22" t="n">
        <x:f>MONTH(D796)</x:f>
        <x:v>5</x:v>
      </x:c>
      <x:c r="J796" s="22" t="n">
        <x:f>YEAR(D796)</x:f>
        <x:v>2022</x:v>
      </x:c>
      <x:c r="K796" t="str">
        <x:f>IF(F796&gt;200,"Large Order","Standard Order")</x:f>
        <x:v>Large Order</x:v>
      </x:c>
    </x:row>
    <x:row r="797">
      <x:c r="A797" t="str">
        <x:v>Oby Sorrel</x:v>
      </x:c>
      <x:c r="B797" t="str">
        <x:v>UK</x:v>
      </x:c>
      <x:c r="C797" t="str">
        <x:v>Raspberry Choco</x:v>
      </x:c>
      <x:c r="D797" s="14" t="n">
        <x:v>44659</x:v>
      </x:c>
      <x:c r="E797" s="16" t="n">
        <x:v>4599</x:v>
      </x:c>
      <x:c r="F797" s="18" t="n">
        <x:v>323</x:v>
      </x:c>
      <x:c r="G797" s="20" t="n">
        <x:f>IFERROR(E797/F797,0)</x:f>
        <x:v>14.238390092879257</x:v>
      </x:c>
      <x:c r="H797" t="str">
        <x:f>TEXT(D797,"mmm")</x:f>
        <x:v>Apr</x:v>
      </x:c>
      <x:c r="I797" s="22" t="n">
        <x:f>MONTH(D797)</x:f>
        <x:v>4</x:v>
      </x:c>
      <x:c r="J797" s="22" t="n">
        <x:f>YEAR(D797)</x:f>
        <x:v>2022</x:v>
      </x:c>
      <x:c r="K797" t="str">
        <x:f>IF(F797&gt;200,"Large Order","Standard Order")</x:f>
        <x:v>Large Order</x:v>
      </x:c>
    </x:row>
    <x:row r="798">
      <x:c r="A798" t="str">
        <x:v>Roddy Speechley</x:v>
      </x:c>
      <x:c r="B798" t="str">
        <x:v>USA</x:v>
      </x:c>
      <x:c r="C798" t="str">
        <x:v>Drinking Coco</x:v>
      </x:c>
      <x:c r="D798" s="14" t="n">
        <x:v>44613</x:v>
      </x:c>
      <x:c r="E798" s="16" t="n">
        <x:v>3003</x:v>
      </x:c>
      <x:c r="F798" s="18" t="n">
        <x:v>155</x:v>
      </x:c>
      <x:c r="G798" s="20" t="n">
        <x:f>IFERROR(E798/F798,0)</x:f>
        <x:v>19.374193548387098</x:v>
      </x:c>
      <x:c r="H798" t="str">
        <x:f>TEXT(D798,"mmm")</x:f>
        <x:v>Feb</x:v>
      </x:c>
      <x:c r="I798" s="22" t="n">
        <x:f>MONTH(D798)</x:f>
        <x:v>2</x:v>
      </x:c>
      <x:c r="J798" s="22" t="n">
        <x:f>YEAR(D798)</x:f>
        <x:v>2022</x:v>
      </x:c>
      <x:c r="K798" t="str">
        <x:f>IF(F798&gt;200,"Large Order","Standard Order")</x:f>
        <x:v>Standard Order</x:v>
      </x:c>
    </x:row>
    <x:row r="799">
      <x:c r="A799" t="str">
        <x:v>Andria Kimpton</x:v>
      </x:c>
      <x:c r="B799" t="str">
        <x:v>Australia</x:v>
      </x:c>
      <x:c r="C799" t="str">
        <x:v>Manuka Honey Choco</x:v>
      </x:c>
      <x:c r="D799" s="14" t="n">
        <x:v>44650</x:v>
      </x:c>
      <x:c r="E799" s="16" t="n">
        <x:v>9744</x:v>
      </x:c>
      <x:c r="F799" s="18" t="n">
        <x:v>377</x:v>
      </x:c>
      <x:c r="G799" s="20" t="n">
        <x:f>IFERROR(E799/F799,0)</x:f>
        <x:v>25.846153846153847</x:v>
      </x:c>
      <x:c r="H799" t="str">
        <x:f>TEXT(D799,"mmm")</x:f>
        <x:v>Mar</x:v>
      </x:c>
      <x:c r="I799" s="22" t="n">
        <x:f>MONTH(D799)</x:f>
        <x:v>3</x:v>
      </x:c>
      <x:c r="J799" s="22" t="n">
        <x:f>YEAR(D799)</x:f>
        <x:v>2022</x:v>
      </x:c>
      <x:c r="K799" t="str">
        <x:f>IF(F799&gt;200,"Large Order","Standard Order")</x:f>
        <x:v>Large Order</x:v>
      </x:c>
    </x:row>
    <x:row r="800">
      <x:c r="A800" t="str">
        <x:v>Mallorie Waber</x:v>
      </x:c>
      <x:c r="B800" t="str">
        <x:v>India</x:v>
      </x:c>
      <x:c r="C800" t="str">
        <x:v>Raspberry Choco</x:v>
      </x:c>
      <x:c r="D800" s="14" t="n">
        <x:v>44622</x:v>
      </x:c>
      <x:c r="E800" s="16" t="n">
        <x:v>1400</x:v>
      </x:c>
      <x:c r="F800" s="18" t="n">
        <x:v>2</x:v>
      </x:c>
      <x:c r="G800" s="20" t="n">
        <x:f>IFERROR(E800/F800,0)</x:f>
        <x:v>700</x:v>
      </x:c>
      <x:c r="H800" t="str">
        <x:f>TEXT(D800,"mmm")</x:f>
        <x:v>Mar</x:v>
      </x:c>
      <x:c r="I800" s="22" t="n">
        <x:f>MONTH(D800)</x:f>
        <x:v>3</x:v>
      </x:c>
      <x:c r="J800" s="22" t="n">
        <x:f>YEAR(D800)</x:f>
        <x:v>2022</x:v>
      </x:c>
      <x:c r="K800" t="str">
        <x:f>IF(F800&gt;200,"Large Order","Standard Order")</x:f>
        <x:v>Standard Order</x:v>
      </x:c>
    </x:row>
    <x:row r="801">
      <x:c r="A801" t="str">
        <x:v>Jehu Rudeforth</x:v>
      </x:c>
      <x:c r="B801" t="str">
        <x:v>USA</x:v>
      </x:c>
      <x:c r="C801" t="str">
        <x:v>Orange Choco</x:v>
      </x:c>
      <x:c r="D801" s="14" t="n">
        <x:v>44770</x:v>
      </x:c>
      <x:c r="E801" s="16" t="n">
        <x:v>364</x:v>
      </x:c>
      <x:c r="F801" s="18" t="n">
        <x:v>170</x:v>
      </x:c>
      <x:c r="G801" s="20" t="n">
        <x:f>IFERROR(E801/F801,0)</x:f>
        <x:v>2.1411764705882352</x:v>
      </x:c>
      <x:c r="H801" t="str">
        <x:f>TEXT(D801,"mmm")</x:f>
        <x:v>Jul</x:v>
      </x:c>
      <x:c r="I801" s="22" t="n">
        <x:f>MONTH(D801)</x:f>
        <x:v>7</x:v>
      </x:c>
      <x:c r="J801" s="22" t="n">
        <x:f>YEAR(D801)</x:f>
        <x:v>2022</x:v>
      </x:c>
      <x:c r="K801" t="str">
        <x:f>IF(F801&gt;200,"Large Order","Standard Order")</x:f>
        <x:v>Standard Order</x:v>
      </x:c>
    </x:row>
    <x:row r="802">
      <x:c r="A802" t="str">
        <x:v>Kaine Padly</x:v>
      </x:c>
      <x:c r="B802" t="str">
        <x:v>New Zealand</x:v>
      </x:c>
      <x:c r="C802" t="str">
        <x:v>70% Dark Bites</x:v>
      </x:c>
      <x:c r="D802" s="14" t="n">
        <x:v>44644</x:v>
      </x:c>
      <x:c r="E802" s="16" t="n">
        <x:v>7231</x:v>
      </x:c>
      <x:c r="F802" s="18" t="n">
        <x:v>38</x:v>
      </x:c>
      <x:c r="G802" s="20" t="n">
        <x:f>IFERROR(E802/F802,0)</x:f>
        <x:v>190.28947368421052</x:v>
      </x:c>
      <x:c r="H802" t="str">
        <x:f>TEXT(D802,"mmm")</x:f>
        <x:v>Mar</x:v>
      </x:c>
      <x:c r="I802" s="22" t="n">
        <x:f>MONTH(D802)</x:f>
        <x:v>3</x:v>
      </x:c>
      <x:c r="J802" s="22" t="n">
        <x:f>YEAR(D802)</x:f>
        <x:v>2022</x:v>
      </x:c>
      <x:c r="K802" t="str">
        <x:f>IF(F802&gt;200,"Large Order","Standard Order")</x:f>
        <x:v>Standard Order</x:v>
      </x:c>
    </x:row>
    <x:row r="803">
      <x:c r="A803" t="str">
        <x:v>Curtice Advani</x:v>
      </x:c>
      <x:c r="B803" t="str">
        <x:v>Australia</x:v>
      </x:c>
      <x:c r="C803" t="str">
        <x:v>After Nines</x:v>
      </x:c>
      <x:c r="D803" s="14" t="n">
        <x:v>44784</x:v>
      </x:c>
      <x:c r="E803" s="16" t="n">
        <x:v>63</x:v>
      </x:c>
      <x:c r="F803" s="18" t="n">
        <x:v>105</x:v>
      </x:c>
      <x:c r="G803" s="20" t="n">
        <x:f>IFERROR(E803/F803,0)</x:f>
        <x:v>0.6</x:v>
      </x:c>
      <x:c r="H803" t="str">
        <x:f>TEXT(D803,"mmm")</x:f>
        <x:v>Aug</x:v>
      </x:c>
      <x:c r="I803" s="22" t="n">
        <x:f>MONTH(D803)</x:f>
        <x:v>8</x:v>
      </x:c>
      <x:c r="J803" s="22" t="n">
        <x:f>YEAR(D803)</x:f>
        <x:v>2022</x:v>
      </x:c>
      <x:c r="K803" t="str">
        <x:f>IF(F803&gt;200,"Large Order","Standard Order")</x:f>
        <x:v>Standard Order</x:v>
      </x:c>
    </x:row>
    <x:row r="804">
      <x:c r="A804" t="str">
        <x:v>Husein Augar</x:v>
      </x:c>
      <x:c r="B804" t="str">
        <x:v>UK</x:v>
      </x:c>
      <x:c r="C804" t="str">
        <x:v>Almond Choco</x:v>
      </x:c>
      <x:c r="D804" s="14" t="n">
        <x:v>44698</x:v>
      </x:c>
      <x:c r="E804" s="16" t="n">
        <x:v>8309</x:v>
      </x:c>
      <x:c r="F804" s="18" t="n">
        <x:v>166</x:v>
      </x:c>
      <x:c r="G804" s="20" t="n">
        <x:f>IFERROR(E804/F804,0)</x:f>
        <x:v>50.05421686746988</x:v>
      </x:c>
      <x:c r="H804" t="str">
        <x:f>TEXT(D804,"mmm")</x:f>
        <x:v>May</x:v>
      </x:c>
      <x:c r="I804" s="22" t="n">
        <x:f>MONTH(D804)</x:f>
        <x:v>5</x:v>
      </x:c>
      <x:c r="J804" s="22" t="n">
        <x:f>YEAR(D804)</x:f>
        <x:v>2022</x:v>
      </x:c>
      <x:c r="K804" t="str">
        <x:f>IF(F804&gt;200,"Large Order","Standard Order")</x:f>
        <x:v>Standard Order</x:v>
      </x:c>
    </x:row>
    <x:row r="805">
      <x:c r="A805" t="str">
        <x:v>Kaine Padly</x:v>
      </x:c>
      <x:c r="B805" t="str">
        <x:v>Canada</x:v>
      </x:c>
      <x:c r="C805" t="str">
        <x:v>Choco Coated Almonds</x:v>
      </x:c>
      <x:c r="D805" s="14" t="n">
        <x:v>44699</x:v>
      </x:c>
      <x:c r="E805" s="16" t="n">
        <x:v>3164</x:v>
      </x:c>
      <x:c r="F805" s="18" t="n">
        <x:v>164</x:v>
      </x:c>
      <x:c r="G805" s="20" t="n">
        <x:f>IFERROR(E805/F805,0)</x:f>
        <x:v>19.29268292682927</x:v>
      </x:c>
      <x:c r="H805" t="str">
        <x:f>TEXT(D805,"mmm")</x:f>
        <x:v>May</x:v>
      </x:c>
      <x:c r="I805" s="22" t="n">
        <x:f>MONTH(D805)</x:f>
        <x:v>5</x:v>
      </x:c>
      <x:c r="J805" s="22" t="n">
        <x:f>YEAR(D805)</x:f>
        <x:v>2022</x:v>
      </x:c>
      <x:c r="K805" t="str">
        <x:f>IF(F805&gt;200,"Large Order","Standard Order")</x:f>
        <x:v>Standard Order</x:v>
      </x:c>
    </x:row>
    <x:row r="806">
      <x:c r="A806" t="str">
        <x:v>Roddy Speechley</x:v>
      </x:c>
      <x:c r="B806" t="str">
        <x:v>UK</x:v>
      </x:c>
      <x:c r="C806" t="str">
        <x:v>Peanut Butter Cubes</x:v>
      </x:c>
      <x:c r="D806" s="14" t="n">
        <x:v>44790</x:v>
      </x:c>
      <x:c r="E806" s="16" t="n">
        <x:v>5691</x:v>
      </x:c>
      <x:c r="F806" s="18" t="n">
        <x:v>171</x:v>
      </x:c>
      <x:c r="G806" s="20" t="n">
        <x:f>IFERROR(E806/F806,0)</x:f>
        <x:v>33.280701754385966</x:v>
      </x:c>
      <x:c r="H806" t="str">
        <x:f>TEXT(D806,"mmm")</x:f>
        <x:v>Aug</x:v>
      </x:c>
      <x:c r="I806" s="22" t="n">
        <x:f>MONTH(D806)</x:f>
        <x:v>8</x:v>
      </x:c>
      <x:c r="J806" s="22" t="n">
        <x:f>YEAR(D806)</x:f>
        <x:v>2022</x:v>
      </x:c>
      <x:c r="K806" t="str">
        <x:f>IF(F806&gt;200,"Large Order","Standard Order")</x:f>
        <x:v>Standard Order</x:v>
      </x:c>
    </x:row>
    <x:row r="807">
      <x:c r="A807" t="str">
        <x:v>Ches Bonnell</x:v>
      </x:c>
      <x:c r="B807" t="str">
        <x:v>New Zealand</x:v>
      </x:c>
      <x:c r="C807" t="str">
        <x:v>Eclairs</x:v>
      </x:c>
      <x:c r="D807" s="14" t="n">
        <x:v>44655</x:v>
      </x:c>
      <x:c r="E807" s="16" t="n">
        <x:v>490</x:v>
      </x:c>
      <x:c r="F807" s="18" t="n">
        <x:v>49</x:v>
      </x:c>
      <x:c r="G807" s="20" t="n">
        <x:f>IFERROR(E807/F807,0)</x:f>
        <x:v>10</x:v>
      </x:c>
      <x:c r="H807" t="str">
        <x:f>TEXT(D807,"mmm")</x:f>
        <x:v>Apr</x:v>
      </x:c>
      <x:c r="I807" s="22" t="n">
        <x:f>MONTH(D807)</x:f>
        <x:v>4</x:v>
      </x:c>
      <x:c r="J807" s="22" t="n">
        <x:f>YEAR(D807)</x:f>
        <x:v>2022</x:v>
      </x:c>
      <x:c r="K807" t="str">
        <x:f>IF(F807&gt;200,"Large Order","Standard Order")</x:f>
        <x:v>Standard Order</x:v>
      </x:c>
    </x:row>
    <x:row r="808">
      <x:c r="A808" t="str">
        <x:v>Brien Boise</x:v>
      </x:c>
      <x:c r="B808" t="str">
        <x:v>India</x:v>
      </x:c>
      <x:c r="C808" t="str">
        <x:v>85% Dark Bars</x:v>
      </x:c>
      <x:c r="D808" s="14" t="n">
        <x:v>44782</x:v>
      </x:c>
      <x:c r="E808" s="16" t="n">
        <x:v>18032</x:v>
      </x:c>
      <x:c r="F808" s="18" t="n">
        <x:v>205</x:v>
      </x:c>
      <x:c r="G808" s="20" t="n">
        <x:f>IFERROR(E808/F808,0)</x:f>
        <x:v>87.9609756097561</x:v>
      </x:c>
      <x:c r="H808" t="str">
        <x:f>TEXT(D808,"mmm")</x:f>
        <x:v>Aug</x:v>
      </x:c>
      <x:c r="I808" s="22" t="n">
        <x:f>MONTH(D808)</x:f>
        <x:v>8</x:v>
      </x:c>
      <x:c r="J808" s="22" t="n">
        <x:f>YEAR(D808)</x:f>
        <x:v>2022</x:v>
      </x:c>
      <x:c r="K808" t="str">
        <x:f>IF(F808&gt;200,"Large Order","Standard Order")</x:f>
        <x:v>Large Order</x:v>
      </x:c>
    </x:row>
    <x:row r="809">
      <x:c r="A809" t="str">
        <x:v>Brien Boise</x:v>
      </x:c>
      <x:c r="B809" t="str">
        <x:v>New Zealand</x:v>
      </x:c>
      <x:c r="C809" t="str">
        <x:v>Organic Choco Syrup</x:v>
      </x:c>
      <x:c r="D809" s="14" t="n">
        <x:v>44578</x:v>
      </x:c>
      <x:c r="E809" s="16" t="n">
        <x:v>637</x:v>
      </x:c>
      <x:c r="F809" s="18" t="n">
        <x:v>313</x:v>
      </x:c>
      <x:c r="G809" s="20" t="n">
        <x:f>IFERROR(E809/F809,0)</x:f>
        <x:v>2.0351437699680512</x:v>
      </x:c>
      <x:c r="H809" t="str">
        <x:f>TEXT(D809,"mmm")</x:f>
        <x:v>Jan</x:v>
      </x:c>
      <x:c r="I809" s="22" t="n">
        <x:f>MONTH(D809)</x:f>
        <x:v>1</x:v>
      </x:c>
      <x:c r="J809" s="22" t="n">
        <x:f>YEAR(D809)</x:f>
        <x:v>2022</x:v>
      </x:c>
      <x:c r="K809" t="str">
        <x:f>IF(F809&gt;200,"Large Order","Standard Order")</x:f>
        <x:v>Large Order</x:v>
      </x:c>
    </x:row>
    <x:row r="810">
      <x:c r="A810" t="str">
        <x:v>Andria Kimpton</x:v>
      </x:c>
      <x:c r="B810" t="str">
        <x:v>Canada</x:v>
      </x:c>
      <x:c r="C810" t="str">
        <x:v>White Choc</x:v>
      </x:c>
      <x:c r="D810" s="14" t="n">
        <x:v>44606</x:v>
      </x:c>
      <x:c r="E810" s="16" t="n">
        <x:v>4067</x:v>
      </x:c>
      <x:c r="F810" s="18" t="n">
        <x:v>29</x:v>
      </x:c>
      <x:c r="G810" s="20" t="n">
        <x:f>IFERROR(E810/F810,0)</x:f>
        <x:v>140.24137931034483</x:v>
      </x:c>
      <x:c r="H810" t="str">
        <x:f>TEXT(D810,"mmm")</x:f>
        <x:v>Feb</x:v>
      </x:c>
      <x:c r="I810" s="22" t="n">
        <x:f>MONTH(D810)</x:f>
        <x:v>2</x:v>
      </x:c>
      <x:c r="J810" s="22" t="n">
        <x:f>YEAR(D810)</x:f>
        <x:v>2022</x:v>
      </x:c>
      <x:c r="K810" t="str">
        <x:f>IF(F810&gt;200,"Large Order","Standard Order")</x:f>
        <x:v>Standard Order</x:v>
      </x:c>
    </x:row>
    <x:row r="811">
      <x:c r="A811" t="str">
        <x:v>Gigi Bohling</x:v>
      </x:c>
      <x:c r="B811" t="str">
        <x:v>New Zealand</x:v>
      </x:c>
      <x:c r="C811" t="str">
        <x:v>Orange Choco</x:v>
      </x:c>
      <x:c r="D811" s="14" t="n">
        <x:v>44697</x:v>
      </x:c>
      <x:c r="E811" s="16" t="n">
        <x:v>8204</x:v>
      </x:c>
      <x:c r="F811" s="18" t="n">
        <x:v>307</x:v>
      </x:c>
      <x:c r="G811" s="20" t="n">
        <x:f>IFERROR(E811/F811,0)</x:f>
        <x:v>26.72312703583062</x:v>
      </x:c>
      <x:c r="H811" t="str">
        <x:f>TEXT(D811,"mmm")</x:f>
        <x:v>May</x:v>
      </x:c>
      <x:c r="I811" s="22" t="n">
        <x:f>MONTH(D811)</x:f>
        <x:v>5</x:v>
      </x:c>
      <x:c r="J811" s="22" t="n">
        <x:f>YEAR(D811)</x:f>
        <x:v>2022</x:v>
      </x:c>
      <x:c r="K811" t="str">
        <x:f>IF(F811&gt;200,"Large Order","Standard Order")</x:f>
        <x:v>Large Order</x:v>
      </x:c>
    </x:row>
    <x:row r="812">
      <x:c r="A812" t="str">
        <x:v>Ches Bonnell</x:v>
      </x:c>
      <x:c r="B812" t="str">
        <x:v>Canada</x:v>
      </x:c>
      <x:c r="C812" t="str">
        <x:v>Smooth Silky Salty</x:v>
      </x:c>
      <x:c r="D812" s="14" t="n">
        <x:v>44636</x:v>
      </x:c>
      <x:c r="E812" s="16" t="n">
        <x:v>9870</x:v>
      </x:c>
      <x:c r="F812" s="18" t="n">
        <x:v>121</x:v>
      </x:c>
      <x:c r="G812" s="20" t="n">
        <x:f>IFERROR(E812/F812,0)</x:f>
        <x:v>81.5702479338843</x:v>
      </x:c>
      <x:c r="H812" t="str">
        <x:f>TEXT(D812,"mmm")</x:f>
        <x:v>Mar</x:v>
      </x:c>
      <x:c r="I812" s="22" t="n">
        <x:f>MONTH(D812)</x:f>
        <x:v>3</x:v>
      </x:c>
      <x:c r="J812" s="22" t="n">
        <x:f>YEAR(D812)</x:f>
        <x:v>2022</x:v>
      </x:c>
      <x:c r="K812" t="str">
        <x:f>IF(F812&gt;200,"Large Order","Standard Order")</x:f>
        <x:v>Standard Order</x:v>
      </x:c>
    </x:row>
    <x:row r="813">
      <x:c r="A813" t="str">
        <x:v>Husein Augar</x:v>
      </x:c>
      <x:c r="B813" t="str">
        <x:v>Canada</x:v>
      </x:c>
      <x:c r="C813" t="str">
        <x:v>70% Dark Bites</x:v>
      </x:c>
      <x:c r="D813" s="14" t="n">
        <x:v>44592</x:v>
      </x:c>
      <x:c r="E813" s="16" t="n">
        <x:v>5131</x:v>
      </x:c>
      <x:c r="F813" s="18" t="n">
        <x:v>285</x:v>
      </x:c>
      <x:c r="G813" s="20" t="n">
        <x:f>IFERROR(E813/F813,0)</x:f>
        <x:v>18.003508771929823</x:v>
      </x:c>
      <x:c r="H813" t="str">
        <x:f>TEXT(D813,"mmm")</x:f>
        <x:v>Jan</x:v>
      </x:c>
      <x:c r="I813" s="22" t="n">
        <x:f>MONTH(D813)</x:f>
        <x:v>1</x:v>
      </x:c>
      <x:c r="J813" s="22" t="n">
        <x:f>YEAR(D813)</x:f>
        <x:v>2022</x:v>
      </x:c>
      <x:c r="K813" t="str">
        <x:f>IF(F813&gt;200,"Large Order","Standard Order")</x:f>
        <x:v>Large Order</x:v>
      </x:c>
    </x:row>
    <x:row r="814">
      <x:c r="A814" t="str">
        <x:v>Barr Faughny</x:v>
      </x:c>
      <x:c r="B814" t="str">
        <x:v>Canada</x:v>
      </x:c>
      <x:c r="C814" t="str">
        <x:v>Organic Choco Syrup</x:v>
      </x:c>
      <x:c r="D814" s="14" t="n">
        <x:v>44630</x:v>
      </x:c>
      <x:c r="E814" s="16" t="n">
        <x:v>1141</x:v>
      </x:c>
      <x:c r="F814" s="18" t="n">
        <x:v>205</x:v>
      </x:c>
      <x:c r="G814" s="20" t="n">
        <x:f>IFERROR(E814/F814,0)</x:f>
        <x:v>5.565853658536585</x:v>
      </x:c>
      <x:c r="H814" t="str">
        <x:f>TEXT(D814,"mmm")</x:f>
        <x:v>Mar</x:v>
      </x:c>
      <x:c r="I814" s="22" t="n">
        <x:f>MONTH(D814)</x:f>
        <x:v>3</x:v>
      </x:c>
      <x:c r="J814" s="22" t="n">
        <x:f>YEAR(D814)</x:f>
        <x:v>2022</x:v>
      </x:c>
      <x:c r="K814" t="str">
        <x:f>IF(F814&gt;200,"Large Order","Standard Order")</x:f>
        <x:v>Large Order</x:v>
      </x:c>
    </x:row>
    <x:row r="815">
      <x:c r="A815" t="str">
        <x:v>Oby Sorrel</x:v>
      </x:c>
      <x:c r="B815" t="str">
        <x:v>UK</x:v>
      </x:c>
      <x:c r="C815" t="str">
        <x:v>Organic Choco Syrup</x:v>
      </x:c>
      <x:c r="D815" s="14" t="n">
        <x:v>44742</x:v>
      </x:c>
      <x:c r="E815" s="16" t="n">
        <x:v>7980</x:v>
      </x:c>
      <x:c r="F815" s="18" t="n">
        <x:v>157</x:v>
      </x:c>
      <x:c r="G815" s="20" t="n">
        <x:f>IFERROR(E815/F815,0)</x:f>
        <x:v>50.82802547770701</x:v>
      </x:c>
      <x:c r="H815" t="str">
        <x:f>TEXT(D815,"mmm")</x:f>
        <x:v>Jun</x:v>
      </x:c>
      <x:c r="I815" s="22" t="n">
        <x:f>MONTH(D815)</x:f>
        <x:v>6</x:v>
      </x:c>
      <x:c r="J815" s="22" t="n">
        <x:f>YEAR(D815)</x:f>
        <x:v>2022</x:v>
      </x:c>
      <x:c r="K815" t="str">
        <x:f>IF(F815&gt;200,"Large Order","Standard Order")</x:f>
        <x:v>Standard Order</x:v>
      </x:c>
    </x:row>
    <x:row r="816">
      <x:c r="A816" t="str">
        <x:v>Van Tuxwell</x:v>
      </x:c>
      <x:c r="B816" t="str">
        <x:v>New Zealand</x:v>
      </x:c>
      <x:c r="C816" t="str">
        <x:v>Eclairs</x:v>
      </x:c>
      <x:c r="D816" s="14" t="n">
        <x:v>44621</x:v>
      </x:c>
      <x:c r="E816" s="16" t="n">
        <x:v>5229</x:v>
      </x:c>
      <x:c r="F816" s="18" t="n">
        <x:v>182</x:v>
      </x:c>
      <x:c r="G816" s="20" t="n">
        <x:f>IFERROR(E816/F816,0)</x:f>
        <x:v>28.73076923076923</x:v>
      </x:c>
      <x:c r="H816" t="str">
        <x:f>TEXT(D816,"mmm")</x:f>
        <x:v>Mar</x:v>
      </x:c>
      <x:c r="I816" s="22" t="n">
        <x:f>MONTH(D816)</x:f>
        <x:v>3</x:v>
      </x:c>
      <x:c r="J816" s="22" t="n">
        <x:f>YEAR(D816)</x:f>
        <x:v>2022</x:v>
      </x:c>
      <x:c r="K816" t="str">
        <x:f>IF(F816&gt;200,"Large Order","Standard Order")</x:f>
        <x:v>Standard Order</x:v>
      </x:c>
    </x:row>
    <x:row r="817">
      <x:c r="A817" t="str">
        <x:v>Mallorie Waber</x:v>
      </x:c>
      <x:c r="B817" t="str">
        <x:v>UK</x:v>
      </x:c>
      <x:c r="C817" t="str">
        <x:v>Drinking Coco</x:v>
      </x:c>
      <x:c r="D817" s="14" t="n">
        <x:v>44708</x:v>
      </x:c>
      <x:c r="E817" s="16" t="n">
        <x:v>3423</x:v>
      </x:c>
      <x:c r="F817" s="18" t="n">
        <x:v>100</x:v>
      </x:c>
      <x:c r="G817" s="20" t="n">
        <x:f>IFERROR(E817/F817,0)</x:f>
        <x:v>34.23</x:v>
      </x:c>
      <x:c r="H817" t="str">
        <x:f>TEXT(D817,"mmm")</x:f>
        <x:v>May</x:v>
      </x:c>
      <x:c r="I817" s="22" t="n">
        <x:f>MONTH(D817)</x:f>
        <x:v>5</x:v>
      </x:c>
      <x:c r="J817" s="22" t="n">
        <x:f>YEAR(D817)</x:f>
        <x:v>2022</x:v>
      </x:c>
      <x:c r="K817" t="str">
        <x:f>IF(F817&gt;200,"Large Order","Standard Order")</x:f>
        <x:v>Standard Order</x:v>
      </x:c>
    </x:row>
    <x:row r="818">
      <x:c r="A818" t="str">
        <x:v>Oby Sorrel</x:v>
      </x:c>
      <x:c r="B818" t="str">
        <x:v>UK</x:v>
      </x:c>
      <x:c r="C818" t="str">
        <x:v>Milk Bars</x:v>
      </x:c>
      <x:c r="D818" s="14" t="n">
        <x:v>44753</x:v>
      </x:c>
      <x:c r="E818" s="16" t="n">
        <x:v>6468</x:v>
      </x:c>
      <x:c r="F818" s="18" t="n">
        <x:v>223</x:v>
      </x:c>
      <x:c r="G818" s="20" t="n">
        <x:f>IFERROR(E818/F818,0)</x:f>
        <x:v>29.004484304932735</x:v>
      </x:c>
      <x:c r="H818" t="str">
        <x:f>TEXT(D818,"mmm")</x:f>
        <x:v>Jul</x:v>
      </x:c>
      <x:c r="I818" s="22" t="n">
        <x:f>MONTH(D818)</x:f>
        <x:v>7</x:v>
      </x:c>
      <x:c r="J818" s="22" t="n">
        <x:f>YEAR(D818)</x:f>
        <x:v>2022</x:v>
      </x:c>
      <x:c r="K818" t="str">
        <x:f>IF(F818&gt;200,"Large Order","Standard Order")</x:f>
        <x:v>Large Order</x:v>
      </x:c>
    </x:row>
    <x:row r="819">
      <x:c r="A819" t="str">
        <x:v>Karlen McCaffrey</x:v>
      </x:c>
      <x:c r="B819" t="str">
        <x:v>New Zealand</x:v>
      </x:c>
      <x:c r="C819" t="str">
        <x:v>Mint Chip Choco</x:v>
      </x:c>
      <x:c r="D819" s="14" t="n">
        <x:v>44622</x:v>
      </x:c>
      <x:c r="E819" s="16" t="n">
        <x:v>4326</x:v>
      </x:c>
      <x:c r="F819" s="18" t="n">
        <x:v>61</x:v>
      </x:c>
      <x:c r="G819" s="20" t="n">
        <x:f>IFERROR(E819/F819,0)</x:f>
        <x:v>70.91803278688525</x:v>
      </x:c>
      <x:c r="H819" t="str">
        <x:f>TEXT(D819,"mmm")</x:f>
        <x:v>Mar</x:v>
      </x:c>
      <x:c r="I819" s="22" t="n">
        <x:f>MONTH(D819)</x:f>
        <x:v>3</x:v>
      </x:c>
      <x:c r="J819" s="22" t="n">
        <x:f>YEAR(D819)</x:f>
        <x:v>2022</x:v>
      </x:c>
      <x:c r="K819" t="str">
        <x:f>IF(F819&gt;200,"Large Order","Standard Order")</x:f>
        <x:v>Standard Order</x:v>
      </x:c>
    </x:row>
    <x:row r="820">
      <x:c r="A820" t="str">
        <x:v>Jehu Rudeforth</x:v>
      </x:c>
      <x:c r="B820" t="str">
        <x:v>USA</x:v>
      </x:c>
      <x:c r="C820" t="str">
        <x:v>Raspberry Choco</x:v>
      </x:c>
      <x:c r="D820" s="14" t="n">
        <x:v>44624</x:v>
      </x:c>
      <x:c r="E820" s="16" t="n">
        <x:v>7154</x:v>
      </x:c>
      <x:c r="F820" s="18" t="n">
        <x:v>133</x:v>
      </x:c>
      <x:c r="G820" s="20" t="n">
        <x:f>IFERROR(E820/F820,0)</x:f>
        <x:v>53.78947368421053</x:v>
      </x:c>
      <x:c r="H820" t="str">
        <x:f>TEXT(D820,"mmm")</x:f>
        <x:v>Mar</x:v>
      </x:c>
      <x:c r="I820" s="22" t="n">
        <x:f>MONTH(D820)</x:f>
        <x:v>3</x:v>
      </x:c>
      <x:c r="J820" s="22" t="n">
        <x:f>YEAR(D820)</x:f>
        <x:v>2022</x:v>
      </x:c>
      <x:c r="K820" t="str">
        <x:f>IF(F820&gt;200,"Large Order","Standard Order")</x:f>
        <x:v>Standard Order</x:v>
      </x:c>
    </x:row>
    <x:row r="821">
      <x:c r="A821" t="str">
        <x:v>Kelci Walkden</x:v>
      </x:c>
      <x:c r="B821" t="str">
        <x:v>UK</x:v>
      </x:c>
      <x:c r="C821" t="str">
        <x:v>85% Dark Bars</x:v>
      </x:c>
      <x:c r="D821" s="14" t="n">
        <x:v>44735</x:v>
      </x:c>
      <x:c r="E821" s="16" t="n">
        <x:v>3997</x:v>
      </x:c>
      <x:c r="F821" s="18" t="n">
        <x:v>228</x:v>
      </x:c>
      <x:c r="G821" s="20" t="n">
        <x:f>IFERROR(E821/F821,0)</x:f>
        <x:v>17.530701754385966</x:v>
      </x:c>
      <x:c r="H821" t="str">
        <x:f>TEXT(D821,"mmm")</x:f>
        <x:v>Jun</x:v>
      </x:c>
      <x:c r="I821" s="22" t="n">
        <x:f>MONTH(D821)</x:f>
        <x:v>6</x:v>
      </x:c>
      <x:c r="J821" s="22" t="n">
        <x:f>YEAR(D821)</x:f>
        <x:v>2022</x:v>
      </x:c>
      <x:c r="K821" t="str">
        <x:f>IF(F821&gt;200,"Large Order","Standard Order")</x:f>
        <x:v>Large Order</x:v>
      </x:c>
    </x:row>
    <x:row r="822">
      <x:c r="A822" t="str">
        <x:v>Kelci Walkden</x:v>
      </x:c>
      <x:c r="B822" t="str">
        <x:v>USA</x:v>
      </x:c>
      <x:c r="C822" t="str">
        <x:v>Almond Choco</x:v>
      </x:c>
      <x:c r="D822" s="14" t="n">
        <x:v>44588</x:v>
      </x:c>
      <x:c r="E822" s="16" t="n">
        <x:v>5180</x:v>
      </x:c>
      <x:c r="F822" s="18" t="n">
        <x:v>233</x:v>
      </x:c>
      <x:c r="G822" s="20" t="n">
        <x:f>IFERROR(E822/F822,0)</x:f>
        <x:v>22.23175965665236</x:v>
      </x:c>
      <x:c r="H822" t="str">
        <x:f>TEXT(D822,"mmm")</x:f>
        <x:v>Jan</x:v>
      </x:c>
      <x:c r="I822" s="22" t="n">
        <x:f>MONTH(D822)</x:f>
        <x:v>1</x:v>
      </x:c>
      <x:c r="J822" s="22" t="n">
        <x:f>YEAR(D822)</x:f>
        <x:v>2022</x:v>
      </x:c>
      <x:c r="K822" t="str">
        <x:f>IF(F822&gt;200,"Large Order","Standard Order")</x:f>
        <x:v>Large Order</x:v>
      </x:c>
    </x:row>
    <x:row r="823">
      <x:c r="A823" t="str">
        <x:v>Marney O'Breen</x:v>
      </x:c>
      <x:c r="B823" t="str">
        <x:v>Canada</x:v>
      </x:c>
      <x:c r="C823" t="str">
        <x:v>Orange Choco</x:v>
      </x:c>
      <x:c r="D823" s="14" t="n">
        <x:v>44575</x:v>
      </x:c>
      <x:c r="E823" s="16" t="n">
        <x:v>2723</x:v>
      </x:c>
      <x:c r="F823" s="18" t="n">
        <x:v>425</x:v>
      </x:c>
      <x:c r="G823" s="20" t="n">
        <x:f>IFERROR(E823/F823,0)</x:f>
        <x:v>6.407058823529412</x:v>
      </x:c>
      <x:c r="H823" t="str">
        <x:f>TEXT(D823,"mmm")</x:f>
        <x:v>Jan</x:v>
      </x:c>
      <x:c r="I823" s="22" t="n">
        <x:f>MONTH(D823)</x:f>
        <x:v>1</x:v>
      </x:c>
      <x:c r="J823" s="22" t="n">
        <x:f>YEAR(D823)</x:f>
        <x:v>2022</x:v>
      </x:c>
      <x:c r="K823" t="str">
        <x:f>IF(F823&gt;200,"Large Order","Standard Order")</x:f>
        <x:v>Large Order</x:v>
      </x:c>
    </x:row>
    <x:row r="824">
      <x:c r="A824" t="str">
        <x:v>Dennison Crosswaite</x:v>
      </x:c>
      <x:c r="B824" t="str">
        <x:v>India</x:v>
      </x:c>
      <x:c r="C824" t="str">
        <x:v>Fruit &amp; Nut Bars</x:v>
      </x:c>
      <x:c r="D824" s="14" t="n">
        <x:v>44771</x:v>
      </x:c>
      <x:c r="E824" s="16" t="n">
        <x:v>952</x:v>
      </x:c>
      <x:c r="F824" s="18" t="n">
        <x:v>24</x:v>
      </x:c>
      <x:c r="G824" s="20" t="n">
        <x:f>IFERROR(E824/F824,0)</x:f>
        <x:v>39.666666666666664</x:v>
      </x:c>
      <x:c r="H824" t="str">
        <x:f>TEXT(D824,"mmm")</x:f>
        <x:v>Jul</x:v>
      </x:c>
      <x:c r="I824" s="22" t="n">
        <x:f>MONTH(D824)</x:f>
        <x:v>7</x:v>
      </x:c>
      <x:c r="J824" s="22" t="n">
        <x:f>YEAR(D824)</x:f>
        <x:v>2022</x:v>
      </x:c>
      <x:c r="K824" t="str">
        <x:f>IF(F824&gt;200,"Large Order","Standard Order")</x:f>
        <x:v>Standard Order</x:v>
      </x:c>
    </x:row>
    <x:row r="825">
      <x:c r="A825" t="str">
        <x:v>Brien Boise</x:v>
      </x:c>
      <x:c r="B825" t="str">
        <x:v>Canada</x:v>
      </x:c>
      <x:c r="C825" t="str">
        <x:v>Smooth Silky Salty</x:v>
      </x:c>
      <x:c r="D825" s="14" t="n">
        <x:v>44694</x:v>
      </x:c>
      <x:c r="E825" s="16" t="n">
        <x:v>5691</x:v>
      </x:c>
      <x:c r="F825" s="18" t="n">
        <x:v>495</x:v>
      </x:c>
      <x:c r="G825" s="20" t="n">
        <x:f>IFERROR(E825/F825,0)</x:f>
        <x:v>11.496969696969696</x:v>
      </x:c>
      <x:c r="H825" t="str">
        <x:f>TEXT(D825,"mmm")</x:f>
        <x:v>May</x:v>
      </x:c>
      <x:c r="I825" s="22" t="n">
        <x:f>MONTH(D825)</x:f>
        <x:v>5</x:v>
      </x:c>
      <x:c r="J825" s="22" t="n">
        <x:f>YEAR(D825)</x:f>
        <x:v>2022</x:v>
      </x:c>
      <x:c r="K825" t="str">
        <x:f>IF(F825&gt;200,"Large Order","Standard Order")</x:f>
        <x:v>Large Order</x:v>
      </x:c>
    </x:row>
    <x:row r="826">
      <x:c r="A826" t="str">
        <x:v>Barr Faughny</x:v>
      </x:c>
      <x:c r="B826" t="str">
        <x:v>Canada</x:v>
      </x:c>
      <x:c r="C826" t="str">
        <x:v>Baker's Choco Chips</x:v>
      </x:c>
      <x:c r="D826" s="14" t="n">
        <x:v>44595</x:v>
      </x:c>
      <x:c r="E826" s="16" t="n">
        <x:v>10969</x:v>
      </x:c>
      <x:c r="F826" s="18" t="n">
        <x:v>170</x:v>
      </x:c>
      <x:c r="G826" s="20" t="n">
        <x:f>IFERROR(E826/F826,0)</x:f>
        <x:v>64.52352941176471</x:v>
      </x:c>
      <x:c r="H826" t="str">
        <x:f>TEXT(D826,"mmm")</x:f>
        <x:v>Feb</x:v>
      </x:c>
      <x:c r="I826" s="22" t="n">
        <x:f>MONTH(D826)</x:f>
        <x:v>2</x:v>
      </x:c>
      <x:c r="J826" s="22" t="n">
        <x:f>YEAR(D826)</x:f>
        <x:v>2022</x:v>
      </x:c>
      <x:c r="K826" t="str">
        <x:f>IF(F826&gt;200,"Large Order","Standard Order")</x:f>
        <x:v>Standard Order</x:v>
      </x:c>
    </x:row>
    <x:row r="827">
      <x:c r="A827" t="str">
        <x:v>Brien Boise</x:v>
      </x:c>
      <x:c r="B827" t="str">
        <x:v>India</x:v>
      </x:c>
      <x:c r="C827" t="str">
        <x:v>Smooth Silky Salty</x:v>
      </x:c>
      <x:c r="D827" s="14" t="n">
        <x:v>44708</x:v>
      </x:c>
      <x:c r="E827" s="16" t="n">
        <x:v>5964</x:v>
      </x:c>
      <x:c r="F827" s="18" t="n">
        <x:v>26</x:v>
      </x:c>
      <x:c r="G827" s="20" t="n">
        <x:f>IFERROR(E827/F827,0)</x:f>
        <x:v>229.3846153846154</x:v>
      </x:c>
      <x:c r="H827" t="str">
        <x:f>TEXT(D827,"mmm")</x:f>
        <x:v>May</x:v>
      </x:c>
      <x:c r="I827" s="22" t="n">
        <x:f>MONTH(D827)</x:f>
        <x:v>5</x:v>
      </x:c>
      <x:c r="J827" s="22" t="n">
        <x:f>YEAR(D827)</x:f>
        <x:v>2022</x:v>
      </x:c>
      <x:c r="K827" t="str">
        <x:f>IF(F827&gt;200,"Large Order","Standard Order")</x:f>
        <x:v>Standard Order</x:v>
      </x:c>
    </x:row>
    <x:row r="828">
      <x:c r="A828" t="str">
        <x:v>Jan Morforth</x:v>
      </x:c>
      <x:c r="B828" t="str">
        <x:v>Australia</x:v>
      </x:c>
      <x:c r="C828" t="str">
        <x:v>Drinking Coco</x:v>
      </x:c>
      <x:c r="D828" s="14" t="n">
        <x:v>44610</x:v>
      </x:c>
      <x:c r="E828" s="16" t="n">
        <x:v>2821</x:v>
      </x:c>
      <x:c r="F828" s="18" t="n">
        <x:v>24</x:v>
      </x:c>
      <x:c r="G828" s="20" t="n">
        <x:f>IFERROR(E828/F828,0)</x:f>
        <x:v>117.54166666666667</x:v>
      </x:c>
      <x:c r="H828" t="str">
        <x:f>TEXT(D828,"mmm")</x:f>
        <x:v>Feb</x:v>
      </x:c>
      <x:c r="I828" s="22" t="n">
        <x:f>MONTH(D828)</x:f>
        <x:v>2</x:v>
      </x:c>
      <x:c r="J828" s="22" t="n">
        <x:f>YEAR(D828)</x:f>
        <x:v>2022</x:v>
      </x:c>
      <x:c r="K828" t="str">
        <x:f>IF(F828&gt;200,"Large Order","Standard Order")</x:f>
        <x:v>Standard Order</x:v>
      </x:c>
    </x:row>
    <x:row r="829">
      <x:c r="A829" t="str">
        <x:v>Brien Boise</x:v>
      </x:c>
      <x:c r="B829" t="str">
        <x:v>India</x:v>
      </x:c>
      <x:c r="C829" t="str">
        <x:v>Spicy Special Slims</x:v>
      </x:c>
      <x:c r="D829" s="14" t="n">
        <x:v>44589</x:v>
      </x:c>
      <x:c r="E829" s="16" t="n">
        <x:v>1302</x:v>
      </x:c>
      <x:c r="F829" s="18" t="n">
        <x:v>33</x:v>
      </x:c>
      <x:c r="G829" s="20" t="n">
        <x:f>IFERROR(E829/F829,0)</x:f>
        <x:v>39.45454545454545</x:v>
      </x:c>
      <x:c r="H829" t="str">
        <x:f>TEXT(D829,"mmm")</x:f>
        <x:v>Jan</x:v>
      </x:c>
      <x:c r="I829" s="22" t="n">
        <x:f>MONTH(D829)</x:f>
        <x:v>1</x:v>
      </x:c>
      <x:c r="J829" s="22" t="n">
        <x:f>YEAR(D829)</x:f>
        <x:v>2022</x:v>
      </x:c>
      <x:c r="K829" t="str">
        <x:f>IF(F829&gt;200,"Large Order","Standard Order")</x:f>
        <x:v>Standard Order</x:v>
      </x:c>
    </x:row>
    <x:row r="830">
      <x:c r="A830" t="str">
        <x:v>Van Tuxwell</x:v>
      </x:c>
      <x:c r="B830" t="str">
        <x:v>UK</x:v>
      </x:c>
      <x:c r="C830" t="str">
        <x:v>Eclairs</x:v>
      </x:c>
      <x:c r="D830" s="14" t="n">
        <x:v>44741</x:v>
      </x:c>
      <x:c r="E830" s="16" t="n">
        <x:v>5474</x:v>
      </x:c>
      <x:c r="F830" s="18" t="n">
        <x:v>109</x:v>
      </x:c>
      <x:c r="G830" s="20" t="n">
        <x:f>IFERROR(E830/F830,0)</x:f>
        <x:v>50.22018348623853</x:v>
      </x:c>
      <x:c r="H830" t="str">
        <x:f>TEXT(D830,"mmm")</x:f>
        <x:v>Jun</x:v>
      </x:c>
      <x:c r="I830" s="22" t="n">
        <x:f>MONTH(D830)</x:f>
        <x:v>6</x:v>
      </x:c>
      <x:c r="J830" s="22" t="n">
        <x:f>YEAR(D830)</x:f>
        <x:v>2022</x:v>
      </x:c>
      <x:c r="K830" t="str">
        <x:f>IF(F830&gt;200,"Large Order","Standard Order")</x:f>
        <x:v>Standard Order</x:v>
      </x:c>
    </x:row>
    <x:row r="831">
      <x:c r="A831" t="str">
        <x:v>Wilone O'Kielt</x:v>
      </x:c>
      <x:c r="B831" t="str">
        <x:v>India</x:v>
      </x:c>
      <x:c r="C831" t="str">
        <x:v>Caramel Stuffed Bars</x:v>
      </x:c>
      <x:c r="D831" s="14" t="n">
        <x:v>44574</x:v>
      </x:c>
      <x:c r="E831" s="16" t="n">
        <x:v>4179</x:v>
      </x:c>
      <x:c r="F831" s="18" t="n">
        <x:v>276</x:v>
      </x:c>
      <x:c r="G831" s="20" t="n">
        <x:f>IFERROR(E831/F831,0)</x:f>
        <x:v>15.141304347826088</x:v>
      </x:c>
      <x:c r="H831" t="str">
        <x:f>TEXT(D831,"mmm")</x:f>
        <x:v>Jan</x:v>
      </x:c>
      <x:c r="I831" s="22" t="n">
        <x:f>MONTH(D831)</x:f>
        <x:v>1</x:v>
      </x:c>
      <x:c r="J831" s="22" t="n">
        <x:f>YEAR(D831)</x:f>
        <x:v>2022</x:v>
      </x:c>
      <x:c r="K831" t="str">
        <x:f>IF(F831&gt;200,"Large Order","Standard Order")</x:f>
        <x:v>Large Order</x:v>
      </x:c>
    </x:row>
    <x:row r="832">
      <x:c r="A832" t="str">
        <x:v>Jehu Rudeforth</x:v>
      </x:c>
      <x:c r="B832" t="str">
        <x:v>UK</x:v>
      </x:c>
      <x:c r="C832" t="str">
        <x:v>After Nines</x:v>
      </x:c>
      <x:c r="D832" s="14" t="n">
        <x:v>44739</x:v>
      </x:c>
      <x:c r="E832" s="16" t="n">
        <x:v>1946</x:v>
      </x:c>
      <x:c r="F832" s="18" t="n">
        <x:v>164</x:v>
      </x:c>
      <x:c r="G832" s="20" t="n">
        <x:f>IFERROR(E832/F832,0)</x:f>
        <x:v>11.865853658536585</x:v>
      </x:c>
      <x:c r="H832" t="str">
        <x:f>TEXT(D832,"mmm")</x:f>
        <x:v>Jun</x:v>
      </x:c>
      <x:c r="I832" s="22" t="n">
        <x:f>MONTH(D832)</x:f>
        <x:v>6</x:v>
      </x:c>
      <x:c r="J832" s="22" t="n">
        <x:f>YEAR(D832)</x:f>
        <x:v>2022</x:v>
      </x:c>
      <x:c r="K832" t="str">
        <x:f>IF(F832&gt;200,"Large Order","Standard Order")</x:f>
        <x:v>Standard Order</x:v>
      </x:c>
    </x:row>
    <x:row r="833">
      <x:c r="A833" t="str">
        <x:v>Barr Faughny</x:v>
      </x:c>
      <x:c r="B833" t="str">
        <x:v>Canada</x:v>
      </x:c>
      <x:c r="C833" t="str">
        <x:v>White Choc</x:v>
      </x:c>
      <x:c r="D833" s="14" t="n">
        <x:v>44649</x:v>
      </x:c>
      <x:c r="E833" s="16" t="n">
        <x:v>4291</x:v>
      </x:c>
      <x:c r="F833" s="18" t="n">
        <x:v>1</x:v>
      </x:c>
      <x:c r="G833" s="20" t="n">
        <x:f>IFERROR(E833/F833,0)</x:f>
        <x:v>4291</x:v>
      </x:c>
      <x:c r="H833" t="str">
        <x:f>TEXT(D833,"mmm")</x:f>
        <x:v>Mar</x:v>
      </x:c>
      <x:c r="I833" s="22" t="n">
        <x:f>MONTH(D833)</x:f>
        <x:v>3</x:v>
      </x:c>
      <x:c r="J833" s="22" t="n">
        <x:f>YEAR(D833)</x:f>
        <x:v>2022</x:v>
      </x:c>
      <x:c r="K833" t="str">
        <x:f>IF(F833&gt;200,"Large Order","Standard Order")</x:f>
        <x:v>Standard Order</x:v>
      </x:c>
    </x:row>
    <x:row r="834">
      <x:c r="A834" t="str">
        <x:v>Gunar Cockshoot</x:v>
      </x:c>
      <x:c r="B834" t="str">
        <x:v>India</x:v>
      </x:c>
      <x:c r="C834" t="str">
        <x:v>Organic Choco Syrup</x:v>
      </x:c>
      <x:c r="D834" s="14" t="n">
        <x:v>44715</x:v>
      </x:c>
      <x:c r="E834" s="16" t="n">
        <x:v>7196</x:v>
      </x:c>
      <x:c r="F834" s="18" t="n">
        <x:v>160</x:v>
      </x:c>
      <x:c r="G834" s="20" t="n">
        <x:f>IFERROR(E834/F834,0)</x:f>
        <x:v>44.975</x:v>
      </x:c>
      <x:c r="H834" t="str">
        <x:f>TEXT(D834,"mmm")</x:f>
        <x:v>Jun</x:v>
      </x:c>
      <x:c r="I834" s="22" t="n">
        <x:f>MONTH(D834)</x:f>
        <x:v>6</x:v>
      </x:c>
      <x:c r="J834" s="22" t="n">
        <x:f>YEAR(D834)</x:f>
        <x:v>2022</x:v>
      </x:c>
      <x:c r="K834" t="str">
        <x:f>IF(F834&gt;200,"Large Order","Standard Order")</x:f>
        <x:v>Standard Order</x:v>
      </x:c>
    </x:row>
    <x:row r="835">
      <x:c r="A835" t="str">
        <x:v>Mallorie Waber</x:v>
      </x:c>
      <x:c r="B835" t="str">
        <x:v>Canada</x:v>
      </x:c>
      <x:c r="C835" t="str">
        <x:v>Smooth Silky Salty</x:v>
      </x:c>
      <x:c r="D835" s="14" t="n">
        <x:v>44641</x:v>
      </x:c>
      <x:c r="E835" s="16" t="n">
        <x:v>1939</x:v>
      </x:c>
      <x:c r="F835" s="18" t="n">
        <x:v>98</x:v>
      </x:c>
      <x:c r="G835" s="20" t="n">
        <x:f>IFERROR(E835/F835,0)</x:f>
        <x:v>19.785714285714285</x:v>
      </x:c>
      <x:c r="H835" t="str">
        <x:f>TEXT(D835,"mmm")</x:f>
        <x:v>Mar</x:v>
      </x:c>
      <x:c r="I835" s="22" t="n">
        <x:f>MONTH(D835)</x:f>
        <x:v>3</x:v>
      </x:c>
      <x:c r="J835" s="22" t="n">
        <x:f>YEAR(D835)</x:f>
        <x:v>2022</x:v>
      </x:c>
      <x:c r="K835" t="str">
        <x:f>IF(F835&gt;200,"Large Order","Standard Order")</x:f>
        <x:v>Standard Order</x:v>
      </x:c>
    </x:row>
    <x:row r="836">
      <x:c r="A836" t="str">
        <x:v>Mallorie Waber</x:v>
      </x:c>
      <x:c r="B836" t="str">
        <x:v>India</x:v>
      </x:c>
      <x:c r="C836" t="str">
        <x:v>Eclairs</x:v>
      </x:c>
      <x:c r="D836" s="14" t="n">
        <x:v>44663</x:v>
      </x:c>
      <x:c r="E836" s="16" t="n">
        <x:v>10437</x:v>
      </x:c>
      <x:c r="F836" s="18" t="n">
        <x:v>46</x:v>
      </x:c>
      <x:c r="G836" s="20" t="n">
        <x:f>IFERROR(E836/F836,0)</x:f>
        <x:v>226.8913043478261</x:v>
      </x:c>
      <x:c r="H836" t="str">
        <x:f>TEXT(D836,"mmm")</x:f>
        <x:v>Apr</x:v>
      </x:c>
      <x:c r="I836" s="22" t="n">
        <x:f>MONTH(D836)</x:f>
        <x:v>4</x:v>
      </x:c>
      <x:c r="J836" s="22" t="n">
        <x:f>YEAR(D836)</x:f>
        <x:v>2022</x:v>
      </x:c>
      <x:c r="K836" t="str">
        <x:f>IF(F836&gt;200,"Large Order","Standard Order")</x:f>
        <x:v>Standard Order</x:v>
      </x:c>
    </x:row>
    <x:row r="837">
      <x:c r="A837" t="str">
        <x:v>Rafaelita Blaksland</x:v>
      </x:c>
      <x:c r="B837" t="str">
        <x:v>Australia</x:v>
      </x:c>
      <x:c r="C837" t="str">
        <x:v>Raspberry Choco</x:v>
      </x:c>
      <x:c r="D837" s="14" t="n">
        <x:v>44580</x:v>
      </x:c>
      <x:c r="E837" s="16" t="n">
        <x:v>6916</x:v>
      </x:c>
      <x:c r="F837" s="18" t="n">
        <x:v>259</x:v>
      </x:c>
      <x:c r="G837" s="20" t="n">
        <x:f>IFERROR(E837/F837,0)</x:f>
        <x:v>26.7027027027027</x:v>
      </x:c>
      <x:c r="H837" t="str">
        <x:f>TEXT(D837,"mmm")</x:f>
        <x:v>Jan</x:v>
      </x:c>
      <x:c r="I837" s="22" t="n">
        <x:f>MONTH(D837)</x:f>
        <x:v>1</x:v>
      </x:c>
      <x:c r="J837" s="22" t="n">
        <x:f>YEAR(D837)</x:f>
        <x:v>2022</x:v>
      </x:c>
      <x:c r="K837" t="str">
        <x:f>IF(F837&gt;200,"Large Order","Standard Order")</x:f>
        <x:v>Large Order</x:v>
      </x:c>
    </x:row>
    <x:row r="838">
      <x:c r="A838" t="str">
        <x:v>Karlen McCaffrey</x:v>
      </x:c>
      <x:c r="B838" t="str">
        <x:v>UK</x:v>
      </x:c>
      <x:c r="C838" t="str">
        <x:v>50% Dark Bites</x:v>
      </x:c>
      <x:c r="D838" s="14" t="n">
        <x:v>44657</x:v>
      </x:c>
      <x:c r="E838" s="16" t="n">
        <x:v>3647</x:v>
      </x:c>
      <x:c r="F838" s="18" t="n">
        <x:v>310</x:v>
      </x:c>
      <x:c r="G838" s="20" t="n">
        <x:f>IFERROR(E838/F838,0)</x:f>
        <x:v>11.764516129032257</x:v>
      </x:c>
      <x:c r="H838" t="str">
        <x:f>TEXT(D838,"mmm")</x:f>
        <x:v>Apr</x:v>
      </x:c>
      <x:c r="I838" s="22" t="n">
        <x:f>MONTH(D838)</x:f>
        <x:v>4</x:v>
      </x:c>
      <x:c r="J838" s="22" t="n">
        <x:f>YEAR(D838)</x:f>
        <x:v>2022</x:v>
      </x:c>
      <x:c r="K838" t="str">
        <x:f>IF(F838&gt;200,"Large Order","Standard Order")</x:f>
        <x:v>Large Order</x:v>
      </x:c>
    </x:row>
    <x:row r="839">
      <x:c r="A839" t="str">
        <x:v>Kaine Padly</x:v>
      </x:c>
      <x:c r="B839" t="str">
        <x:v>Australia</x:v>
      </x:c>
      <x:c r="C839" t="str">
        <x:v>50% Dark Bites</x:v>
      </x:c>
      <x:c r="D839" s="14" t="n">
        <x:v>44775</x:v>
      </x:c>
      <x:c r="E839" s="16" t="n">
        <x:v>8995</x:v>
      </x:c>
      <x:c r="F839" s="18" t="n">
        <x:v>78</x:v>
      </x:c>
      <x:c r="G839" s="20" t="n">
        <x:f>IFERROR(E839/F839,0)</x:f>
        <x:v>115.32051282051282</x:v>
      </x:c>
      <x:c r="H839" t="str">
        <x:f>TEXT(D839,"mmm")</x:f>
        <x:v>Aug</x:v>
      </x:c>
      <x:c r="I839" s="22" t="n">
        <x:f>MONTH(D839)</x:f>
        <x:v>8</x:v>
      </x:c>
      <x:c r="J839" s="22" t="n">
        <x:f>YEAR(D839)</x:f>
        <x:v>2022</x:v>
      </x:c>
      <x:c r="K839" t="str">
        <x:f>IF(F839&gt;200,"Large Order","Standard Order")</x:f>
        <x:v>Standard Order</x:v>
      </x:c>
    </x:row>
    <x:row r="840">
      <x:c r="A840" t="str">
        <x:v>Gigi Bohling</x:v>
      </x:c>
      <x:c r="B840" t="str">
        <x:v>Australia</x:v>
      </x:c>
      <x:c r="C840" t="str">
        <x:v>Eclairs</x:v>
      </x:c>
      <x:c r="D840" s="14" t="n">
        <x:v>44663</x:v>
      </x:c>
      <x:c r="E840" s="16" t="n">
        <x:v>7252</x:v>
      </x:c>
      <x:c r="F840" s="18" t="n">
        <x:v>136</x:v>
      </x:c>
      <x:c r="G840" s="20" t="n">
        <x:f>IFERROR(E840/F840,0)</x:f>
        <x:v>53.3235294117647</x:v>
      </x:c>
      <x:c r="H840" t="str">
        <x:f>TEXT(D840,"mmm")</x:f>
        <x:v>Apr</x:v>
      </x:c>
      <x:c r="I840" s="22" t="n">
        <x:f>MONTH(D840)</x:f>
        <x:v>4</x:v>
      </x:c>
      <x:c r="J840" s="22" t="n">
        <x:f>YEAR(D840)</x:f>
        <x:v>2022</x:v>
      </x:c>
      <x:c r="K840" t="str">
        <x:f>IF(F840&gt;200,"Large Order","Standard Order")</x:f>
        <x:v>Standard Order</x:v>
      </x:c>
    </x:row>
    <x:row r="841">
      <x:c r="A841" t="str">
        <x:v>Oby Sorrel</x:v>
      </x:c>
      <x:c r="B841" t="str">
        <x:v>India</x:v>
      </x:c>
      <x:c r="C841" t="str">
        <x:v>Drinking Coco</x:v>
      </x:c>
      <x:c r="D841" s="14" t="n">
        <x:v>44763</x:v>
      </x:c>
      <x:c r="E841" s="16" t="n">
        <x:v>16380</x:v>
      </x:c>
      <x:c r="F841" s="18" t="n">
        <x:v>130</x:v>
      </x:c>
      <x:c r="G841" s="20" t="n">
        <x:f>IFERROR(E841/F841,0)</x:f>
        <x:v>126</x:v>
      </x:c>
      <x:c r="H841" t="str">
        <x:f>TEXT(D841,"mmm")</x:f>
        <x:v>Jul</x:v>
      </x:c>
      <x:c r="I841" s="22" t="n">
        <x:f>MONTH(D841)</x:f>
        <x:v>7</x:v>
      </x:c>
      <x:c r="J841" s="22" t="n">
        <x:f>YEAR(D841)</x:f>
        <x:v>2022</x:v>
      </x:c>
      <x:c r="K841" t="str">
        <x:f>IF(F841&gt;200,"Large Order","Standard Order")</x:f>
        <x:v>Standard Order</x:v>
      </x:c>
    </x:row>
    <x:row r="842">
      <x:c r="A842" t="str">
        <x:v>Van Tuxwell</x:v>
      </x:c>
      <x:c r="B842" t="str">
        <x:v>New Zealand</x:v>
      </x:c>
      <x:c r="C842" t="str">
        <x:v>Baker's Choco Chips</x:v>
      </x:c>
      <x:c r="D842" s="14" t="n">
        <x:v>44642</x:v>
      </x:c>
      <x:c r="E842" s="16" t="n">
        <x:v>9660</x:v>
      </x:c>
      <x:c r="F842" s="18" t="n">
        <x:v>24</x:v>
      </x:c>
      <x:c r="G842" s="20" t="n">
        <x:f>IFERROR(E842/F842,0)</x:f>
        <x:v>402.5</x:v>
      </x:c>
      <x:c r="H842" t="str">
        <x:f>TEXT(D842,"mmm")</x:f>
        <x:v>Mar</x:v>
      </x:c>
      <x:c r="I842" s="22" t="n">
        <x:f>MONTH(D842)</x:f>
        <x:v>3</x:v>
      </x:c>
      <x:c r="J842" s="22" t="n">
        <x:f>YEAR(D842)</x:f>
        <x:v>2022</x:v>
      </x:c>
      <x:c r="K842" t="str">
        <x:f>IF(F842&gt;200,"Large Order","Standard Order")</x:f>
        <x:v>Standard Order</x:v>
      </x:c>
    </x:row>
    <x:row r="843">
      <x:c r="A843" t="str">
        <x:v>Husein Augar</x:v>
      </x:c>
      <x:c r="B843" t="str">
        <x:v>India</x:v>
      </x:c>
      <x:c r="C843" t="str">
        <x:v>Peanut Butter Cubes</x:v>
      </x:c>
      <x:c r="D843" s="14" t="n">
        <x:v>44690</x:v>
      </x:c>
      <x:c r="E843" s="16" t="n">
        <x:v>4522</x:v>
      </x:c>
      <x:c r="F843" s="18" t="n">
        <x:v>5</x:v>
      </x:c>
      <x:c r="G843" s="20" t="n">
        <x:f>IFERROR(E843/F843,0)</x:f>
        <x:v>904.4</x:v>
      </x:c>
      <x:c r="H843" t="str">
        <x:f>TEXT(D843,"mmm")</x:f>
        <x:v>May</x:v>
      </x:c>
      <x:c r="I843" s="22" t="n">
        <x:f>MONTH(D843)</x:f>
        <x:v>5</x:v>
      </x:c>
      <x:c r="J843" s="22" t="n">
        <x:f>YEAR(D843)</x:f>
        <x:v>2022</x:v>
      </x:c>
      <x:c r="K843" t="str">
        <x:f>IF(F843&gt;200,"Large Order","Standard Order")</x:f>
        <x:v>Standard Order</x:v>
      </x:c>
    </x:row>
    <x:row r="844">
      <x:c r="A844" t="str">
        <x:v>Andria Kimpton</x:v>
      </x:c>
      <x:c r="B844" t="str">
        <x:v>Australia</x:v>
      </x:c>
      <x:c r="C844" t="str">
        <x:v>Baker's Choco Chips</x:v>
      </x:c>
      <x:c r="D844" s="14" t="n">
        <x:v>44782</x:v>
      </x:c>
      <x:c r="E844" s="16" t="n">
        <x:v>329</x:v>
      </x:c>
      <x:c r="F844" s="18" t="n">
        <x:v>109</x:v>
      </x:c>
      <x:c r="G844" s="20" t="n">
        <x:f>IFERROR(E844/F844,0)</x:f>
        <x:v>3.018348623853211</x:v>
      </x:c>
      <x:c r="H844" t="str">
        <x:f>TEXT(D844,"mmm")</x:f>
        <x:v>Aug</x:v>
      </x:c>
      <x:c r="I844" s="22" t="n">
        <x:f>MONTH(D844)</x:f>
        <x:v>8</x:v>
      </x:c>
      <x:c r="J844" s="22" t="n">
        <x:f>YEAR(D844)</x:f>
        <x:v>2022</x:v>
      </x:c>
      <x:c r="K844" t="str">
        <x:f>IF(F844&gt;200,"Large Order","Standard Order")</x:f>
        <x:v>Standard Order</x:v>
      </x:c>
    </x:row>
    <x:row r="845">
      <x:c r="A845" t="str">
        <x:v>Madelene Upcott</x:v>
      </x:c>
      <x:c r="B845" t="str">
        <x:v>Canada</x:v>
      </x:c>
      <x:c r="C845" t="str">
        <x:v>Choco Coated Almonds</x:v>
      </x:c>
      <x:c r="D845" s="14" t="n">
        <x:v>44762</x:v>
      </x:c>
      <x:c r="E845" s="16" t="n">
        <x:v>3458</x:v>
      </x:c>
      <x:c r="F845" s="18" t="n">
        <x:v>294</x:v>
      </x:c>
      <x:c r="G845" s="20" t="n">
        <x:f>IFERROR(E845/F845,0)</x:f>
        <x:v>11.761904761904763</x:v>
      </x:c>
      <x:c r="H845" t="str">
        <x:f>TEXT(D845,"mmm")</x:f>
        <x:v>Jul</x:v>
      </x:c>
      <x:c r="I845" s="22" t="n">
        <x:f>MONTH(D845)</x:f>
        <x:v>7</x:v>
      </x:c>
      <x:c r="J845" s="22" t="n">
        <x:f>YEAR(D845)</x:f>
        <x:v>2022</x:v>
      </x:c>
      <x:c r="K845" t="str">
        <x:f>IF(F845&gt;200,"Large Order","Standard Order")</x:f>
        <x:v>Large Order</x:v>
      </x:c>
    </x:row>
    <x:row r="846">
      <x:c r="A846" t="str">
        <x:v>Brien Boise</x:v>
      </x:c>
      <x:c r="B846" t="str">
        <x:v>India</x:v>
      </x:c>
      <x:c r="C846" t="str">
        <x:v>70% Dark Bites</x:v>
      </x:c>
      <x:c r="D846" s="14" t="n">
        <x:v>44665</x:v>
      </x:c>
      <x:c r="E846" s="16" t="n">
        <x:v>4641</x:v>
      </x:c>
      <x:c r="F846" s="18" t="n">
        <x:v>413</x:v>
      </x:c>
      <x:c r="G846" s="20" t="n">
        <x:f>IFERROR(E846/F846,0)</x:f>
        <x:v>11.23728813559322</x:v>
      </x:c>
      <x:c r="H846" t="str">
        <x:f>TEXT(D846,"mmm")</x:f>
        <x:v>Apr</x:v>
      </x:c>
      <x:c r="I846" s="22" t="n">
        <x:f>MONTH(D846)</x:f>
        <x:v>4</x:v>
      </x:c>
      <x:c r="J846" s="22" t="n">
        <x:f>YEAR(D846)</x:f>
        <x:v>2022</x:v>
      </x:c>
      <x:c r="K846" t="str">
        <x:f>IF(F846&gt;200,"Large Order","Standard Order")</x:f>
        <x:v>Large Order</x:v>
      </x:c>
    </x:row>
    <x:row r="847">
      <x:c r="A847" t="str">
        <x:v>Jehu Rudeforth</x:v>
      </x:c>
      <x:c r="B847" t="str">
        <x:v>Canada</x:v>
      </x:c>
      <x:c r="C847" t="str">
        <x:v>White Choc</x:v>
      </x:c>
      <x:c r="D847" s="14" t="n">
        <x:v>44586</x:v>
      </x:c>
      <x:c r="E847" s="16" t="n">
        <x:v>4627</x:v>
      </x:c>
      <x:c r="F847" s="18" t="n">
        <x:v>136</x:v>
      </x:c>
      <x:c r="G847" s="20" t="n">
        <x:f>IFERROR(E847/F847,0)</x:f>
        <x:v>34.02205882352941</x:v>
      </x:c>
      <x:c r="H847" t="str">
        <x:f>TEXT(D847,"mmm")</x:f>
        <x:v>Jan</x:v>
      </x:c>
      <x:c r="I847" s="22" t="n">
        <x:f>MONTH(D847)</x:f>
        <x:v>1</x:v>
      </x:c>
      <x:c r="J847" s="22" t="n">
        <x:f>YEAR(D847)</x:f>
        <x:v>2022</x:v>
      </x:c>
      <x:c r="K847" t="str">
        <x:f>IF(F847&gt;200,"Large Order","Standard Order")</x:f>
        <x:v>Standard Order</x:v>
      </x:c>
    </x:row>
    <x:row r="848">
      <x:c r="A848" t="str">
        <x:v>Andria Kimpton</x:v>
      </x:c>
      <x:c r="B848" t="str">
        <x:v>Australia</x:v>
      </x:c>
      <x:c r="C848" t="str">
        <x:v>Almond Choco</x:v>
      </x:c>
      <x:c r="D848" s="14" t="n">
        <x:v>44676</x:v>
      </x:c>
      <x:c r="E848" s="16" t="n">
        <x:v>3192</x:v>
      </x:c>
      <x:c r="F848" s="18" t="n">
        <x:v>175</x:v>
      </x:c>
      <x:c r="G848" s="20" t="n">
        <x:f>IFERROR(E848/F848,0)</x:f>
        <x:v>18.24</x:v>
      </x:c>
      <x:c r="H848" t="str">
        <x:f>TEXT(D848,"mmm")</x:f>
        <x:v>Apr</x:v>
      </x:c>
      <x:c r="I848" s="22" t="n">
        <x:f>MONTH(D848)</x:f>
        <x:v>4</x:v>
      </x:c>
      <x:c r="J848" s="22" t="n">
        <x:f>YEAR(D848)</x:f>
        <x:v>2022</x:v>
      </x:c>
      <x:c r="K848" t="str">
        <x:f>IF(F848&gt;200,"Large Order","Standard Order")</x:f>
        <x:v>Standard Order</x:v>
      </x:c>
    </x:row>
    <x:row r="849">
      <x:c r="A849" t="str">
        <x:v>Dotty Strutley</x:v>
      </x:c>
      <x:c r="B849" t="str">
        <x:v>Canada</x:v>
      </x:c>
      <x:c r="C849" t="str">
        <x:v>After Nines</x:v>
      </x:c>
      <x:c r="D849" s="14" t="n">
        <x:v>44578</x:v>
      </x:c>
      <x:c r="E849" s="16" t="n">
        <x:v>252</x:v>
      </x:c>
      <x:c r="F849" s="18" t="n">
        <x:v>237</x:v>
      </x:c>
      <x:c r="G849" s="20" t="n">
        <x:f>IFERROR(E849/F849,0)</x:f>
        <x:v>1.0632911392405062</x:v>
      </x:c>
      <x:c r="H849" t="str">
        <x:f>TEXT(D849,"mmm")</x:f>
        <x:v>Jan</x:v>
      </x:c>
      <x:c r="I849" s="22" t="n">
        <x:f>MONTH(D849)</x:f>
        <x:v>1</x:v>
      </x:c>
      <x:c r="J849" s="22" t="n">
        <x:f>YEAR(D849)</x:f>
        <x:v>2022</x:v>
      </x:c>
      <x:c r="K849" t="str">
        <x:f>IF(F849&gt;200,"Large Order","Standard Order")</x:f>
        <x:v>Large Order</x:v>
      </x:c>
    </x:row>
    <x:row r="850">
      <x:c r="A850" t="str">
        <x:v>Karlen McCaffrey</x:v>
      </x:c>
      <x:c r="B850" t="str">
        <x:v>USA</x:v>
      </x:c>
      <x:c r="C850" t="str">
        <x:v>Eclairs</x:v>
      </x:c>
      <x:c r="D850" s="14" t="n">
        <x:v>44788</x:v>
      </x:c>
      <x:c r="E850" s="16" t="n">
        <x:v>868</x:v>
      </x:c>
      <x:c r="F850" s="18" t="n">
        <x:v>125</x:v>
      </x:c>
      <x:c r="G850" s="20" t="n">
        <x:f>IFERROR(E850/F850,0)</x:f>
        <x:v>6.944</x:v>
      </x:c>
      <x:c r="H850" t="str">
        <x:f>TEXT(D850,"mmm")</x:f>
        <x:v>Aug</x:v>
      </x:c>
      <x:c r="I850" s="22" t="n">
        <x:f>MONTH(D850)</x:f>
        <x:v>8</x:v>
      </x:c>
      <x:c r="J850" s="22" t="n">
        <x:f>YEAR(D850)</x:f>
        <x:v>2022</x:v>
      </x:c>
      <x:c r="K850" t="str">
        <x:f>IF(F850&gt;200,"Large Order","Standard Order")</x:f>
        <x:v>Standard Order</x:v>
      </x:c>
    </x:row>
    <x:row r="851">
      <x:c r="A851" t="str">
        <x:v>Karlen McCaffrey</x:v>
      </x:c>
      <x:c r="B851" t="str">
        <x:v>Canada</x:v>
      </x:c>
      <x:c r="C851" t="str">
        <x:v>Fruit &amp; Nut Bars</x:v>
      </x:c>
      <x:c r="D851" s="14" t="n">
        <x:v>44714</x:v>
      </x:c>
      <x:c r="E851" s="16" t="n">
        <x:v>210</x:v>
      </x:c>
      <x:c r="F851" s="18" t="n">
        <x:v>16</x:v>
      </x:c>
      <x:c r="G851" s="20" t="n">
        <x:f>IFERROR(E851/F851,0)</x:f>
        <x:v>13.125</x:v>
      </x:c>
      <x:c r="H851" t="str">
        <x:f>TEXT(D851,"mmm")</x:f>
        <x:v>Jun</x:v>
      </x:c>
      <x:c r="I851" s="22" t="n">
        <x:f>MONTH(D851)</x:f>
        <x:v>6</x:v>
      </x:c>
      <x:c r="J851" s="22" t="n">
        <x:f>YEAR(D851)</x:f>
        <x:v>2022</x:v>
      </x:c>
      <x:c r="K851" t="str">
        <x:f>IF(F851&gt;200,"Large Order","Standard Order")</x:f>
        <x:v>Standard Order</x:v>
      </x:c>
    </x:row>
    <x:row r="852">
      <x:c r="A852" t="str">
        <x:v>Gunar Cockshoot</x:v>
      </x:c>
      <x:c r="B852" t="str">
        <x:v>USA</x:v>
      </x:c>
      <x:c r="C852" t="str">
        <x:v>85% Dark Bars</x:v>
      </x:c>
      <x:c r="D852" s="14" t="n">
        <x:v>44742</x:v>
      </x:c>
      <x:c r="E852" s="16" t="n">
        <x:v>7007</x:v>
      </x:c>
      <x:c r="F852" s="18" t="n">
        <x:v>135</x:v>
      </x:c>
      <x:c r="G852" s="20" t="n">
        <x:f>IFERROR(E852/F852,0)</x:f>
        <x:v>51.903703703703705</x:v>
      </x:c>
      <x:c r="H852" t="str">
        <x:f>TEXT(D852,"mmm")</x:f>
        <x:v>Jun</x:v>
      </x:c>
      <x:c r="I852" s="22" t="n">
        <x:f>MONTH(D852)</x:f>
        <x:v>6</x:v>
      </x:c>
      <x:c r="J852" s="22" t="n">
        <x:f>YEAR(D852)</x:f>
        <x:v>2022</x:v>
      </x:c>
      <x:c r="K852" t="str">
        <x:f>IF(F852&gt;200,"Large Order","Standard Order")</x:f>
        <x:v>Standard Order</x:v>
      </x:c>
    </x:row>
    <x:row r="853">
      <x:c r="A853" t="str">
        <x:v>Dotty Strutley</x:v>
      </x:c>
      <x:c r="B853" t="str">
        <x:v>New Zealand</x:v>
      </x:c>
      <x:c r="C853" t="str">
        <x:v>Raspberry Choco</x:v>
      </x:c>
      <x:c r="D853" s="14" t="n">
        <x:v>44602</x:v>
      </x:c>
      <x:c r="E853" s="16" t="n">
        <x:v>5845</x:v>
      </x:c>
      <x:c r="F853" s="18" t="n">
        <x:v>91</x:v>
      </x:c>
      <x:c r="G853" s="20" t="n">
        <x:f>IFERROR(E853/F853,0)</x:f>
        <x:v>64.23076923076923</x:v>
      </x:c>
      <x:c r="H853" t="str">
        <x:f>TEXT(D853,"mmm")</x:f>
        <x:v>Feb</x:v>
      </x:c>
      <x:c r="I853" s="22" t="n">
        <x:f>MONTH(D853)</x:f>
        <x:v>2</x:v>
      </x:c>
      <x:c r="J853" s="22" t="n">
        <x:f>YEAR(D853)</x:f>
        <x:v>2022</x:v>
      </x:c>
      <x:c r="K853" t="str">
        <x:f>IF(F853&gt;200,"Large Order","Standard Order")</x:f>
        <x:v>Standard Order</x:v>
      </x:c>
    </x:row>
    <x:row r="854">
      <x:c r="A854" t="str">
        <x:v>Marney O'Breen</x:v>
      </x:c>
      <x:c r="B854" t="str">
        <x:v>Canada</x:v>
      </x:c>
      <x:c r="C854" t="str">
        <x:v>Caramel Stuffed Bars</x:v>
      </x:c>
      <x:c r="D854" s="14" t="n">
        <x:v>44615</x:v>
      </x:c>
      <x:c r="E854" s="16" t="n">
        <x:v>1372</x:v>
      </x:c>
      <x:c r="F854" s="18" t="n">
        <x:v>614</x:v>
      </x:c>
      <x:c r="G854" s="20" t="n">
        <x:f>IFERROR(E854/F854,0)</x:f>
        <x:v>2.234527687296417</x:v>
      </x:c>
      <x:c r="H854" t="str">
        <x:f>TEXT(D854,"mmm")</x:f>
        <x:v>Feb</x:v>
      </x:c>
      <x:c r="I854" s="22" t="n">
        <x:f>MONTH(D854)</x:f>
        <x:v>2</x:v>
      </x:c>
      <x:c r="J854" s="22" t="n">
        <x:f>YEAR(D854)</x:f>
        <x:v>2022</x:v>
      </x:c>
      <x:c r="K854" t="str">
        <x:f>IF(F854&gt;200,"Large Order","Standard Order")</x:f>
        <x:v>Large Order</x:v>
      </x:c>
    </x:row>
    <x:row r="855">
      <x:c r="A855" t="str">
        <x:v>Dennison Crosswaite</x:v>
      </x:c>
      <x:c r="B855" t="str">
        <x:v>India</x:v>
      </x:c>
      <x:c r="C855" t="str">
        <x:v>Organic Choco Syrup</x:v>
      </x:c>
      <x:c r="D855" s="14" t="n">
        <x:v>44588</x:v>
      </x:c>
      <x:c r="E855" s="16" t="n">
        <x:v>8428</x:v>
      </x:c>
      <x:c r="F855" s="18" t="n">
        <x:v>216</x:v>
      </x:c>
      <x:c r="G855" s="20" t="n">
        <x:f>IFERROR(E855/F855,0)</x:f>
        <x:v>39.01851851851852</x:v>
      </x:c>
      <x:c r="H855" t="str">
        <x:f>TEXT(D855,"mmm")</x:f>
        <x:v>Jan</x:v>
      </x:c>
      <x:c r="I855" s="22" t="n">
        <x:f>MONTH(D855)</x:f>
        <x:v>1</x:v>
      </x:c>
      <x:c r="J855" s="22" t="n">
        <x:f>YEAR(D855)</x:f>
        <x:v>2022</x:v>
      </x:c>
      <x:c r="K855" t="str">
        <x:f>IF(F855&gt;200,"Large Order","Standard Order")</x:f>
        <x:v>Large Order</x:v>
      </x:c>
    </x:row>
    <x:row r="856">
      <x:c r="A856" t="str">
        <x:v>Camilla Castle</x:v>
      </x:c>
      <x:c r="B856" t="str">
        <x:v>UK</x:v>
      </x:c>
      <x:c r="C856" t="str">
        <x:v>Mint Chip Choco</x:v>
      </x:c>
      <x:c r="D856" s="14" t="n">
        <x:v>44707</x:v>
      </x:c>
      <x:c r="E856" s="16" t="n">
        <x:v>4977</x:v>
      </x:c>
      <x:c r="F856" s="18" t="n">
        <x:v>317</x:v>
      </x:c>
      <x:c r="G856" s="20" t="n">
        <x:f>IFERROR(E856/F856,0)</x:f>
        <x:v>15.700315457413248</x:v>
      </x:c>
      <x:c r="H856" t="str">
        <x:f>TEXT(D856,"mmm")</x:f>
        <x:v>May</x:v>
      </x:c>
      <x:c r="I856" s="22" t="n">
        <x:f>MONTH(D856)</x:f>
        <x:v>5</x:v>
      </x:c>
      <x:c r="J856" s="22" t="n">
        <x:f>YEAR(D856)</x:f>
        <x:v>2022</x:v>
      </x:c>
      <x:c r="K856" t="str">
        <x:f>IF(F856&gt;200,"Large Order","Standard Order")</x:f>
        <x:v>Large Order</x:v>
      </x:c>
    </x:row>
    <x:row r="857">
      <x:c r="A857" t="str">
        <x:v>Brien Boise</x:v>
      </x:c>
      <x:c r="B857" t="str">
        <x:v>USA</x:v>
      </x:c>
      <x:c r="C857" t="str">
        <x:v>70% Dark Bites</x:v>
      </x:c>
      <x:c r="D857" s="14" t="n">
        <x:v>44665</x:v>
      </x:c>
      <x:c r="E857" s="16" t="n">
        <x:v>1694</x:v>
      </x:c>
      <x:c r="F857" s="18" t="n">
        <x:v>21</x:v>
      </x:c>
      <x:c r="G857" s="20" t="n">
        <x:f>IFERROR(E857/F857,0)</x:f>
        <x:v>80.66666666666667</x:v>
      </x:c>
      <x:c r="H857" t="str">
        <x:f>TEXT(D857,"mmm")</x:f>
        <x:v>Apr</x:v>
      </x:c>
      <x:c r="I857" s="22" t="n">
        <x:f>MONTH(D857)</x:f>
        <x:v>4</x:v>
      </x:c>
      <x:c r="J857" s="22" t="n">
        <x:f>YEAR(D857)</x:f>
        <x:v>2022</x:v>
      </x:c>
      <x:c r="K857" t="str">
        <x:f>IF(F857&gt;200,"Large Order","Standard Order")</x:f>
        <x:v>Standard Order</x:v>
      </x:c>
    </x:row>
    <x:row r="858">
      <x:c r="A858" t="str">
        <x:v>Madelene Upcott</x:v>
      </x:c>
      <x:c r="B858" t="str">
        <x:v>Australia</x:v>
      </x:c>
      <x:c r="C858" t="str">
        <x:v>99% Dark &amp; Pure</x:v>
      </x:c>
      <x:c r="D858" s="14" t="n">
        <x:v>44774</x:v>
      </x:c>
      <x:c r="E858" s="16" t="n">
        <x:v>4326</x:v>
      </x:c>
      <x:c r="F858" s="18" t="n">
        <x:v>154</x:v>
      </x:c>
      <x:c r="G858" s="20" t="n">
        <x:f>IFERROR(E858/F858,0)</x:f>
        <x:v>28.09090909090909</x:v>
      </x:c>
      <x:c r="H858" t="str">
        <x:f>TEXT(D858,"mmm")</x:f>
        <x:v>Aug</x:v>
      </x:c>
      <x:c r="I858" s="22" t="n">
        <x:f>MONTH(D858)</x:f>
        <x:v>8</x:v>
      </x:c>
      <x:c r="J858" s="22" t="n">
        <x:f>YEAR(D858)</x:f>
        <x:v>2022</x:v>
      </x:c>
      <x:c r="K858" t="str">
        <x:f>IF(F858&gt;200,"Large Order","Standard Order")</x:f>
        <x:v>Standard Order</x:v>
      </x:c>
    </x:row>
    <x:row r="859">
      <x:c r="A859" t="str">
        <x:v>Mallorie Waber</x:v>
      </x:c>
      <x:c r="B859" t="str">
        <x:v>Australia</x:v>
      </x:c>
      <x:c r="C859" t="str">
        <x:v>Eclairs</x:v>
      </x:c>
      <x:c r="D859" s="14" t="n">
        <x:v>44795</x:v>
      </x:c>
      <x:c r="E859" s="16" t="n">
        <x:v>9527</x:v>
      </x:c>
      <x:c r="F859" s="18" t="n">
        <x:v>222</x:v>
      </x:c>
      <x:c r="G859" s="20" t="n">
        <x:f>IFERROR(E859/F859,0)</x:f>
        <x:v>42.914414414414416</x:v>
      </x:c>
      <x:c r="H859" t="str">
        <x:f>TEXT(D859,"mmm")</x:f>
        <x:v>Aug</x:v>
      </x:c>
      <x:c r="I859" s="22" t="n">
        <x:f>MONTH(D859)</x:f>
        <x:v>8</x:v>
      </x:c>
      <x:c r="J859" s="22" t="n">
        <x:f>YEAR(D859)</x:f>
        <x:v>2022</x:v>
      </x:c>
      <x:c r="K859" t="str">
        <x:f>IF(F859&gt;200,"Large Order","Standard Order")</x:f>
        <x:v>Large Order</x:v>
      </x:c>
    </x:row>
    <x:row r="860">
      <x:c r="A860" t="str">
        <x:v>Marney O'Breen</x:v>
      </x:c>
      <x:c r="B860" t="str">
        <x:v>India</x:v>
      </x:c>
      <x:c r="C860" t="str">
        <x:v>99% Dark &amp; Pure</x:v>
      </x:c>
      <x:c r="D860" s="14" t="n">
        <x:v>44764</x:v>
      </x:c>
      <x:c r="E860" s="16" t="n">
        <x:v>10766</x:v>
      </x:c>
      <x:c r="F860" s="18" t="n">
        <x:v>157</x:v>
      </x:c>
      <x:c r="G860" s="20" t="n">
        <x:f>IFERROR(E860/F860,0)</x:f>
        <x:v>68.5732484076433</x:v>
      </x:c>
      <x:c r="H860" t="str">
        <x:f>TEXT(D860,"mmm")</x:f>
        <x:v>Jul</x:v>
      </x:c>
      <x:c r="I860" s="22" t="n">
        <x:f>MONTH(D860)</x:f>
        <x:v>7</x:v>
      </x:c>
      <x:c r="J860" s="22" t="n">
        <x:f>YEAR(D860)</x:f>
        <x:v>2022</x:v>
      </x:c>
      <x:c r="K860" t="str">
        <x:f>IF(F860&gt;200,"Large Order","Standard Order")</x:f>
        <x:v>Standard Order</x:v>
      </x:c>
    </x:row>
    <x:row r="861">
      <x:c r="A861" t="str">
        <x:v>Husein Augar</x:v>
      </x:c>
      <x:c r="B861" t="str">
        <x:v>USA</x:v>
      </x:c>
      <x:c r="C861" t="str">
        <x:v>Fruit &amp; Nut Bars</x:v>
      </x:c>
      <x:c r="D861" s="14" t="n">
        <x:v>44679</x:v>
      </x:c>
      <x:c r="E861" s="16" t="n">
        <x:v>1288</x:v>
      </x:c>
      <x:c r="F861" s="18" t="n">
        <x:v>27</x:v>
      </x:c>
      <x:c r="G861" s="20" t="n">
        <x:f>IFERROR(E861/F861,0)</x:f>
        <x:v>47.7037037037037</x:v>
      </x:c>
      <x:c r="H861" t="str">
        <x:f>TEXT(D861,"mmm")</x:f>
        <x:v>Apr</x:v>
      </x:c>
      <x:c r="I861" s="22" t="n">
        <x:f>MONTH(D861)</x:f>
        <x:v>4</x:v>
      </x:c>
      <x:c r="J861" s="22" t="n">
        <x:f>YEAR(D861)</x:f>
        <x:v>2022</x:v>
      </x:c>
      <x:c r="K861" t="str">
        <x:f>IF(F861&gt;200,"Large Order","Standard Order")</x:f>
        <x:v>Standard Order</x:v>
      </x:c>
    </x:row>
    <x:row r="862">
      <x:c r="A862" t="str">
        <x:v>Kelci Walkden</x:v>
      </x:c>
      <x:c r="B862" t="str">
        <x:v>Australia</x:v>
      </x:c>
      <x:c r="C862" t="str">
        <x:v>Almond Choco</x:v>
      </x:c>
      <x:c r="D862" s="14" t="n">
        <x:v>44711</x:v>
      </x:c>
      <x:c r="E862" s="16" t="n">
        <x:v>4879</x:v>
      </x:c>
      <x:c r="F862" s="18" t="n">
        <x:v>350</x:v>
      </x:c>
      <x:c r="G862" s="20" t="n">
        <x:f>IFERROR(E862/F862,0)</x:f>
        <x:v>13.94</x:v>
      </x:c>
      <x:c r="H862" t="str">
        <x:f>TEXT(D862,"mmm")</x:f>
        <x:v>May</x:v>
      </x:c>
      <x:c r="I862" s="22" t="n">
        <x:f>MONTH(D862)</x:f>
        <x:v>5</x:v>
      </x:c>
      <x:c r="J862" s="22" t="n">
        <x:f>YEAR(D862)</x:f>
        <x:v>2022</x:v>
      </x:c>
      <x:c r="K862" t="str">
        <x:f>IF(F862&gt;200,"Large Order","Standard Order")</x:f>
        <x:v>Large Order</x:v>
      </x:c>
    </x:row>
    <x:row r="863">
      <x:c r="A863" t="str">
        <x:v>Ches Bonnell</x:v>
      </x:c>
      <x:c r="B863" t="str">
        <x:v>USA</x:v>
      </x:c>
      <x:c r="C863" t="str">
        <x:v>Milk Bars</x:v>
      </x:c>
      <x:c r="D863" s="14" t="n">
        <x:v>44763</x:v>
      </x:c>
      <x:c r="E863" s="16" t="n">
        <x:v>2408</x:v>
      </x:c>
      <x:c r="F863" s="18" t="n">
        <x:v>157</x:v>
      </x:c>
      <x:c r="G863" s="20" t="n">
        <x:f>IFERROR(E863/F863,0)</x:f>
        <x:v>15.337579617834395</x:v>
      </x:c>
      <x:c r="H863" t="str">
        <x:f>TEXT(D863,"mmm")</x:f>
        <x:v>Jul</x:v>
      </x:c>
      <x:c r="I863" s="22" t="n">
        <x:f>MONTH(D863)</x:f>
        <x:v>7</x:v>
      </x:c>
      <x:c r="J863" s="22" t="n">
        <x:f>YEAR(D863)</x:f>
        <x:v>2022</x:v>
      </x:c>
      <x:c r="K863" t="str">
        <x:f>IF(F863&gt;200,"Large Order","Standard Order")</x:f>
        <x:v>Standard Order</x:v>
      </x:c>
    </x:row>
    <x:row r="864">
      <x:c r="A864" t="str">
        <x:v>Jan Morforth</x:v>
      </x:c>
      <x:c r="B864" t="str">
        <x:v>UK</x:v>
      </x:c>
      <x:c r="C864" t="str">
        <x:v>Caramel Stuffed Bars</x:v>
      </x:c>
      <x:c r="D864" s="14" t="n">
        <x:v>44775</x:v>
      </x:c>
      <x:c r="E864" s="16" t="n">
        <x:v>3094</x:v>
      </x:c>
      <x:c r="F864" s="18" t="n">
        <x:v>468</x:v>
      </x:c>
      <x:c r="G864" s="20" t="n">
        <x:f>IFERROR(E864/F864,0)</x:f>
        <x:v>6.611111111111111</x:v>
      </x:c>
      <x:c r="H864" t="str">
        <x:f>TEXT(D864,"mmm")</x:f>
        <x:v>Aug</x:v>
      </x:c>
      <x:c r="I864" s="22" t="n">
        <x:f>MONTH(D864)</x:f>
        <x:v>8</x:v>
      </x:c>
      <x:c r="J864" s="22" t="n">
        <x:f>YEAR(D864)</x:f>
        <x:v>2022</x:v>
      </x:c>
      <x:c r="K864" t="str">
        <x:f>IF(F864&gt;200,"Large Order","Standard Order")</x:f>
        <x:v>Large Order</x:v>
      </x:c>
    </x:row>
    <x:row r="865">
      <x:c r="A865" t="str">
        <x:v>Brien Boise</x:v>
      </x:c>
      <x:c r="B865" t="str">
        <x:v>New Zealand</x:v>
      </x:c>
      <x:c r="C865" t="str">
        <x:v>70% Dark Bites</x:v>
      </x:c>
      <x:c r="D865" s="14" t="n">
        <x:v>44727</x:v>
      </x:c>
      <x:c r="E865" s="16" t="n">
        <x:v>7231</x:v>
      </x:c>
      <x:c r="F865" s="18" t="n">
        <x:v>130</x:v>
      </x:c>
      <x:c r="G865" s="20" t="n">
        <x:f>IFERROR(E865/F865,0)</x:f>
        <x:v>55.62307692307692</x:v>
      </x:c>
      <x:c r="H865" t="str">
        <x:f>TEXT(D865,"mmm")</x:f>
        <x:v>Jun</x:v>
      </x:c>
      <x:c r="I865" s="22" t="n">
        <x:f>MONTH(D865)</x:f>
        <x:v>6</x:v>
      </x:c>
      <x:c r="J865" s="22" t="n">
        <x:f>YEAR(D865)</x:f>
        <x:v>2022</x:v>
      </x:c>
      <x:c r="K865" t="str">
        <x:f>IF(F865&gt;200,"Large Order","Standard Order")</x:f>
        <x:v>Standard Order</x:v>
      </x:c>
    </x:row>
    <x:row r="866">
      <x:c r="A866" t="str">
        <x:v>Oby Sorrel</x:v>
      </x:c>
      <x:c r="B866" t="str">
        <x:v>India</x:v>
      </x:c>
      <x:c r="C866" t="str">
        <x:v>85% Dark Bars</x:v>
      </x:c>
      <x:c r="D866" s="14" t="n">
        <x:v>44747</x:v>
      </x:c>
      <x:c r="E866" s="16" t="n">
        <x:v>8981</x:v>
      </x:c>
      <x:c r="F866" s="18" t="n">
        <x:v>130</x:v>
      </x:c>
      <x:c r="G866" s="20" t="n">
        <x:f>IFERROR(E866/F866,0)</x:f>
        <x:v>69.08461538461539</x:v>
      </x:c>
      <x:c r="H866" t="str">
        <x:f>TEXT(D866,"mmm")</x:f>
        <x:v>Jul</x:v>
      </x:c>
      <x:c r="I866" s="22" t="n">
        <x:f>MONTH(D866)</x:f>
        <x:v>7</x:v>
      </x:c>
      <x:c r="J866" s="22" t="n">
        <x:f>YEAR(D866)</x:f>
        <x:v>2022</x:v>
      </x:c>
      <x:c r="K866" t="str">
        <x:f>IF(F866&gt;200,"Large Order","Standard Order")</x:f>
        <x:v>Standard Order</x:v>
      </x:c>
    </x:row>
    <x:row r="867">
      <x:c r="A867" t="str">
        <x:v>Kaine Padly</x:v>
      </x:c>
      <x:c r="B867" t="str">
        <x:v>New Zealand</x:v>
      </x:c>
      <x:c r="C867" t="str">
        <x:v>Smooth Silky Salty</x:v>
      </x:c>
      <x:c r="D867" s="14" t="n">
        <x:v>44663</x:v>
      </x:c>
      <x:c r="E867" s="16" t="n">
        <x:v>7</x:v>
      </x:c>
      <x:c r="F867" s="18" t="n">
        <x:v>518</x:v>
      </x:c>
      <x:c r="G867" s="20" t="n">
        <x:f>IFERROR(E867/F867,0)</x:f>
        <x:v>0.013513513513513514</x:v>
      </x:c>
      <x:c r="H867" t="str">
        <x:f>TEXT(D867,"mmm")</x:f>
        <x:v>Apr</x:v>
      </x:c>
      <x:c r="I867" s="22" t="n">
        <x:f>MONTH(D867)</x:f>
        <x:v>4</x:v>
      </x:c>
      <x:c r="J867" s="22" t="n">
        <x:f>YEAR(D867)</x:f>
        <x:v>2022</x:v>
      </x:c>
      <x:c r="K867" t="str">
        <x:f>IF(F867&gt;200,"Large Order","Standard Order")</x:f>
        <x:v>Large Order</x:v>
      </x:c>
    </x:row>
    <x:row r="868">
      <x:c r="A868" t="str">
        <x:v>Gigi Bohling</x:v>
      </x:c>
      <x:c r="B868" t="str">
        <x:v>Australia</x:v>
      </x:c>
      <x:c r="C868" t="str">
        <x:v>70% Dark Bites</x:v>
      </x:c>
      <x:c r="D868" s="14" t="n">
        <x:v>44791</x:v>
      </x:c>
      <x:c r="E868" s="16" t="n">
        <x:v>1372</x:v>
      </x:c>
      <x:c r="F868" s="18" t="n">
        <x:v>105</x:v>
      </x:c>
      <x:c r="G868" s="20" t="n">
        <x:f>IFERROR(E868/F868,0)</x:f>
        <x:v>13.066666666666666</x:v>
      </x:c>
      <x:c r="H868" t="str">
        <x:f>TEXT(D868,"mmm")</x:f>
        <x:v>Aug</x:v>
      </x:c>
      <x:c r="I868" s="22" t="n">
        <x:f>MONTH(D868)</x:f>
        <x:v>8</x:v>
      </x:c>
      <x:c r="J868" s="22" t="n">
        <x:f>YEAR(D868)</x:f>
        <x:v>2022</x:v>
      </x:c>
      <x:c r="K868" t="str">
        <x:f>IF(F868&gt;200,"Large Order","Standard Order")</x:f>
        <x:v>Standard Order</x:v>
      </x:c>
    </x:row>
    <x:row r="869">
      <x:c r="A869" t="str">
        <x:v>Jan Morforth</x:v>
      </x:c>
      <x:c r="B869" t="str">
        <x:v>UK</x:v>
      </x:c>
      <x:c r="C869" t="str">
        <x:v>50% Dark Bites</x:v>
      </x:c>
      <x:c r="D869" s="14" t="n">
        <x:v>44573</x:v>
      </x:c>
      <x:c r="E869" s="16" t="n">
        <x:v>5250</x:v>
      </x:c>
      <x:c r="F869" s="18" t="n">
        <x:v>293</x:v>
      </x:c>
      <x:c r="G869" s="20" t="n">
        <x:f>IFERROR(E869/F869,0)</x:f>
        <x:v>17.918088737201366</x:v>
      </x:c>
      <x:c r="H869" t="str">
        <x:f>TEXT(D869,"mmm")</x:f>
        <x:v>Jan</x:v>
      </x:c>
      <x:c r="I869" s="22" t="n">
        <x:f>MONTH(D869)</x:f>
        <x:v>1</x:v>
      </x:c>
      <x:c r="J869" s="22" t="n">
        <x:f>YEAR(D869)</x:f>
        <x:v>2022</x:v>
      </x:c>
      <x:c r="K869" t="str">
        <x:f>IF(F869&gt;200,"Large Order","Standard Order")</x:f>
        <x:v>Large Order</x:v>
      </x:c>
    </x:row>
    <x:row r="870">
      <x:c r="A870" t="str">
        <x:v>Gunar Cockshoot</x:v>
      </x:c>
      <x:c r="B870" t="str">
        <x:v>Canada</x:v>
      </x:c>
      <x:c r="C870" t="str">
        <x:v>White Choc</x:v>
      </x:c>
      <x:c r="D870" s="14" t="n">
        <x:v>44784</x:v>
      </x:c>
      <x:c r="E870" s="16" t="n">
        <x:v>7560</x:v>
      </x:c>
      <x:c r="F870" s="18" t="n">
        <x:v>15</x:v>
      </x:c>
      <x:c r="G870" s="20" t="n">
        <x:f>IFERROR(E870/F870,0)</x:f>
        <x:v>504</x:v>
      </x:c>
      <x:c r="H870" t="str">
        <x:f>TEXT(D870,"mmm")</x:f>
        <x:v>Aug</x:v>
      </x:c>
      <x:c r="I870" s="22" t="n">
        <x:f>MONTH(D870)</x:f>
        <x:v>8</x:v>
      </x:c>
      <x:c r="J870" s="22" t="n">
        <x:f>YEAR(D870)</x:f>
        <x:v>2022</x:v>
      </x:c>
      <x:c r="K870" t="str">
        <x:f>IF(F870&gt;200,"Large Order","Standard Order")</x:f>
        <x:v>Standard Order</x:v>
      </x:c>
    </x:row>
    <x:row r="871">
      <x:c r="A871" t="str">
        <x:v>Jehu Rudeforth</x:v>
      </x:c>
      <x:c r="B871" t="str">
        <x:v>Australia</x:v>
      </x:c>
      <x:c r="C871" t="str">
        <x:v>Spicy Special Slims</x:v>
      </x:c>
      <x:c r="D871" s="14" t="n">
        <x:v>44574</x:v>
      </x:c>
      <x:c r="E871" s="16" t="n">
        <x:v>5012</x:v>
      </x:c>
      <x:c r="F871" s="18" t="n">
        <x:v>384</x:v>
      </x:c>
      <x:c r="G871" s="20" t="n">
        <x:f>IFERROR(E871/F871,0)</x:f>
        <x:v>13.052083333333334</x:v>
      </x:c>
      <x:c r="H871" t="str">
        <x:f>TEXT(D871,"mmm")</x:f>
        <x:v>Jan</x:v>
      </x:c>
      <x:c r="I871" s="22" t="n">
        <x:f>MONTH(D871)</x:f>
        <x:v>1</x:v>
      </x:c>
      <x:c r="J871" s="22" t="n">
        <x:f>YEAR(D871)</x:f>
        <x:v>2022</x:v>
      </x:c>
      <x:c r="K871" t="str">
        <x:f>IF(F871&gt;200,"Large Order","Standard Order")</x:f>
        <x:v>Large Order</x:v>
      </x:c>
    </x:row>
    <x:row r="872">
      <x:c r="A872" t="str">
        <x:v>Husein Augar</x:v>
      </x:c>
      <x:c r="B872" t="str">
        <x:v>UK</x:v>
      </x:c>
      <x:c r="C872" t="str">
        <x:v>Baker's Choco Chips</x:v>
      </x:c>
      <x:c r="D872" s="14" t="n">
        <x:v>44680</x:v>
      </x:c>
      <x:c r="E872" s="16" t="n">
        <x:v>3038</x:v>
      </x:c>
      <x:c r="F872" s="18" t="n">
        <x:v>135</x:v>
      </x:c>
      <x:c r="G872" s="20" t="n">
        <x:f>IFERROR(E872/F872,0)</x:f>
        <x:v>22.503703703703703</x:v>
      </x:c>
      <x:c r="H872" t="str">
        <x:f>TEXT(D872,"mmm")</x:f>
        <x:v>Apr</x:v>
      </x:c>
      <x:c r="I872" s="22" t="n">
        <x:f>MONTH(D872)</x:f>
        <x:v>4</x:v>
      </x:c>
      <x:c r="J872" s="22" t="n">
        <x:f>YEAR(D872)</x:f>
        <x:v>2022</x:v>
      </x:c>
      <x:c r="K872" t="str">
        <x:f>IF(F872&gt;200,"Large Order","Standard Order")</x:f>
        <x:v>Standard Order</x:v>
      </x:c>
    </x:row>
    <x:row r="873">
      <x:c r="A873" t="str">
        <x:v>Rafaelita Blaksland</x:v>
      </x:c>
      <x:c r="B873" t="str">
        <x:v>New Zealand</x:v>
      </x:c>
      <x:c r="C873" t="str">
        <x:v>After Nines</x:v>
      </x:c>
      <x:c r="D873" s="14" t="n">
        <x:v>44749</x:v>
      </x:c>
      <x:c r="E873" s="16" t="n">
        <x:v>1099</x:v>
      </x:c>
      <x:c r="F873" s="18" t="n">
        <x:v>92</x:v>
      </x:c>
      <x:c r="G873" s="20" t="n">
        <x:f>IFERROR(E873/F873,0)</x:f>
        <x:v>11.945652173913043</x:v>
      </x:c>
      <x:c r="H873" t="str">
        <x:f>TEXT(D873,"mmm")</x:f>
        <x:v>Jul</x:v>
      </x:c>
      <x:c r="I873" s="22" t="n">
        <x:f>MONTH(D873)</x:f>
        <x:v>7</x:v>
      </x:c>
      <x:c r="J873" s="22" t="n">
        <x:f>YEAR(D873)</x:f>
        <x:v>2022</x:v>
      </x:c>
      <x:c r="K873" t="str">
        <x:f>IF(F873&gt;200,"Large Order","Standard Order")</x:f>
        <x:v>Standard Order</x:v>
      </x:c>
    </x:row>
    <x:row r="874">
      <x:c r="A874" t="str">
        <x:v>Madelene Upcott</x:v>
      </x:c>
      <x:c r="B874" t="str">
        <x:v>New Zealand</x:v>
      </x:c>
      <x:c r="C874" t="str">
        <x:v>Mint Chip Choco</x:v>
      </x:c>
      <x:c r="D874" s="14" t="n">
        <x:v>44631</x:v>
      </x:c>
      <x:c r="E874" s="16" t="n">
        <x:v>7413</x:v>
      </x:c>
      <x:c r="F874" s="18" t="n">
        <x:v>4</x:v>
      </x:c>
      <x:c r="G874" s="20" t="n">
        <x:f>IFERROR(E874/F874,0)</x:f>
        <x:v>1853.25</x:v>
      </x:c>
      <x:c r="H874" t="str">
        <x:f>TEXT(D874,"mmm")</x:f>
        <x:v>Mar</x:v>
      </x:c>
      <x:c r="I874" s="22" t="n">
        <x:f>MONTH(D874)</x:f>
        <x:v>3</x:v>
      </x:c>
      <x:c r="J874" s="22" t="n">
        <x:f>YEAR(D874)</x:f>
        <x:v>2022</x:v>
      </x:c>
      <x:c r="K874" t="str">
        <x:f>IF(F874&gt;200,"Large Order","Standard Order")</x:f>
        <x:v>Standard Order</x:v>
      </x:c>
    </x:row>
    <x:row r="875">
      <x:c r="A875" t="str">
        <x:v>Madelene Upcott</x:v>
      </x:c>
      <x:c r="B875" t="str">
        <x:v>UK</x:v>
      </x:c>
      <x:c r="C875" t="str">
        <x:v>70% Dark Bites</x:v>
      </x:c>
      <x:c r="D875" s="14" t="n">
        <x:v>44608</x:v>
      </x:c>
      <x:c r="E875" s="16" t="n">
        <x:v>5397</x:v>
      </x:c>
      <x:c r="F875" s="18" t="n">
        <x:v>239</x:v>
      </x:c>
      <x:c r="G875" s="20" t="n">
        <x:f>IFERROR(E875/F875,0)</x:f>
        <x:v>22.581589958158997</x:v>
      </x:c>
      <x:c r="H875" t="str">
        <x:f>TEXT(D875,"mmm")</x:f>
        <x:v>Feb</x:v>
      </x:c>
      <x:c r="I875" s="22" t="n">
        <x:f>MONTH(D875)</x:f>
        <x:v>2</x:v>
      </x:c>
      <x:c r="J875" s="22" t="n">
        <x:f>YEAR(D875)</x:f>
        <x:v>2022</x:v>
      </x:c>
      <x:c r="K875" t="str">
        <x:f>IF(F875&gt;200,"Large Order","Standard Order")</x:f>
        <x:v>Large Order</x:v>
      </x:c>
    </x:row>
    <x:row r="876">
      <x:c r="A876" t="str">
        <x:v>Barr Faughny</x:v>
      </x:c>
      <x:c r="B876" t="str">
        <x:v>Australia</x:v>
      </x:c>
      <x:c r="C876" t="str">
        <x:v>Organic Choco Syrup</x:v>
      </x:c>
      <x:c r="D876" s="14" t="n">
        <x:v>44568</x:v>
      </x:c>
      <x:c r="E876" s="16" t="n">
        <x:v>2303</x:v>
      </x:c>
      <x:c r="F876" s="18" t="n">
        <x:v>33</x:v>
      </x:c>
      <x:c r="G876" s="20" t="n">
        <x:f>IFERROR(E876/F876,0)</x:f>
        <x:v>69.78787878787878</x:v>
      </x:c>
      <x:c r="H876" t="str">
        <x:f>TEXT(D876,"mmm")</x:f>
        <x:v>Jan</x:v>
      </x:c>
      <x:c r="I876" s="22" t="n">
        <x:f>MONTH(D876)</x:f>
        <x:v>1</x:v>
      </x:c>
      <x:c r="J876" s="22" t="n">
        <x:f>YEAR(D876)</x:f>
        <x:v>2022</x:v>
      </x:c>
      <x:c r="K876" t="str">
        <x:f>IF(F876&gt;200,"Large Order","Standard Order")</x:f>
        <x:v>Standard Order</x:v>
      </x:c>
    </x:row>
    <x:row r="877">
      <x:c r="A877" t="str">
        <x:v>Beverie Moffet</x:v>
      </x:c>
      <x:c r="B877" t="str">
        <x:v>New Zealand</x:v>
      </x:c>
      <x:c r="C877" t="str">
        <x:v>Drinking Coco</x:v>
      </x:c>
      <x:c r="D877" s="14" t="n">
        <x:v>44573</x:v>
      </x:c>
      <x:c r="E877" s="16" t="n">
        <x:v>1141</x:v>
      </x:c>
      <x:c r="F877" s="18" t="n">
        <x:v>518</x:v>
      </x:c>
      <x:c r="G877" s="20" t="n">
        <x:f>IFERROR(E877/F877,0)</x:f>
        <x:v>2.2027027027027026</x:v>
      </x:c>
      <x:c r="H877" t="str">
        <x:f>TEXT(D877,"mmm")</x:f>
        <x:v>Jan</x:v>
      </x:c>
      <x:c r="I877" s="22" t="n">
        <x:f>MONTH(D877)</x:f>
        <x:v>1</x:v>
      </x:c>
      <x:c r="J877" s="22" t="n">
        <x:f>YEAR(D877)</x:f>
        <x:v>2022</x:v>
      </x:c>
      <x:c r="K877" t="str">
        <x:f>IF(F877&gt;200,"Large Order","Standard Order")</x:f>
        <x:v>Large Order</x:v>
      </x:c>
    </x:row>
    <x:row r="878">
      <x:c r="A878" t="str">
        <x:v>Beverie Moffet</x:v>
      </x:c>
      <x:c r="B878" t="str">
        <x:v>India</x:v>
      </x:c>
      <x:c r="C878" t="str">
        <x:v>Eclairs</x:v>
      </x:c>
      <x:c r="D878" s="14" t="n">
        <x:v>44721</x:v>
      </x:c>
      <x:c r="E878" s="16" t="n">
        <x:v>10325</x:v>
      </x:c>
      <x:c r="F878" s="18" t="n">
        <x:v>147</x:v>
      </x:c>
      <x:c r="G878" s="20" t="n">
        <x:f>IFERROR(E878/F878,0)</x:f>
        <x:v>70.23809523809524</x:v>
      </x:c>
      <x:c r="H878" t="str">
        <x:f>TEXT(D878,"mmm")</x:f>
        <x:v>Jun</x:v>
      </x:c>
      <x:c r="I878" s="22" t="n">
        <x:f>MONTH(D878)</x:f>
        <x:v>6</x:v>
      </x:c>
      <x:c r="J878" s="22" t="n">
        <x:f>YEAR(D878)</x:f>
        <x:v>2022</x:v>
      </x:c>
      <x:c r="K878" t="str">
        <x:f>IF(F878&gt;200,"Large Order","Standard Order")</x:f>
        <x:v>Standard Order</x:v>
      </x:c>
    </x:row>
    <x:row r="879">
      <x:c r="A879" t="str">
        <x:v>Andria Kimpton</x:v>
      </x:c>
      <x:c r="B879" t="str">
        <x:v>India</x:v>
      </x:c>
      <x:c r="C879" t="str">
        <x:v>Eclairs</x:v>
      </x:c>
      <x:c r="D879" s="14" t="n">
        <x:v>44697</x:v>
      </x:c>
      <x:c r="E879" s="16" t="n">
        <x:v>2149</x:v>
      </x:c>
      <x:c r="F879" s="18" t="n">
        <x:v>84</x:v>
      </x:c>
      <x:c r="G879" s="20" t="n">
        <x:f>IFERROR(E879/F879,0)</x:f>
        <x:v>25.583333333333332</x:v>
      </x:c>
      <x:c r="H879" t="str">
        <x:f>TEXT(D879,"mmm")</x:f>
        <x:v>May</x:v>
      </x:c>
      <x:c r="I879" s="22" t="n">
        <x:f>MONTH(D879)</x:f>
        <x:v>5</x:v>
      </x:c>
      <x:c r="J879" s="22" t="n">
        <x:f>YEAR(D879)</x:f>
        <x:v>2022</x:v>
      </x:c>
      <x:c r="K879" t="str">
        <x:f>IF(F879&gt;200,"Large Order","Standard Order")</x:f>
        <x:v>Standard Order</x:v>
      </x:c>
    </x:row>
    <x:row r="880">
      <x:c r="A880" t="str">
        <x:v>Gigi Bohling</x:v>
      </x:c>
      <x:c r="B880" t="str">
        <x:v>UK</x:v>
      </x:c>
      <x:c r="C880" t="str">
        <x:v>85% Dark Bars</x:v>
      </x:c>
      <x:c r="D880" s="14" t="n">
        <x:v>44735</x:v>
      </x:c>
      <x:c r="E880" s="16" t="n">
        <x:v>12362</x:v>
      </x:c>
      <x:c r="F880" s="18" t="n">
        <x:v>94</x:v>
      </x:c>
      <x:c r="G880" s="20" t="n">
        <x:f>IFERROR(E880/F880,0)</x:f>
        <x:v>131.51063829787233</x:v>
      </x:c>
      <x:c r="H880" t="str">
        <x:f>TEXT(D880,"mmm")</x:f>
        <x:v>Jun</x:v>
      </x:c>
      <x:c r="I880" s="22" t="n">
        <x:f>MONTH(D880)</x:f>
        <x:v>6</x:v>
      </x:c>
      <x:c r="J880" s="22" t="n">
        <x:f>YEAR(D880)</x:f>
        <x:v>2022</x:v>
      </x:c>
      <x:c r="K880" t="str">
        <x:f>IF(F880&gt;200,"Large Order","Standard Order")</x:f>
        <x:v>Standard Order</x:v>
      </x:c>
    </x:row>
    <x:row r="881">
      <x:c r="A881" t="str">
        <x:v>Roddy Speechley</x:v>
      </x:c>
      <x:c r="B881" t="str">
        <x:v>UK</x:v>
      </x:c>
      <x:c r="C881" t="str">
        <x:v>Raspberry Choco</x:v>
      </x:c>
      <x:c r="D881" s="14" t="n">
        <x:v>44589</x:v>
      </x:c>
      <x:c r="E881" s="16" t="n">
        <x:v>12635</x:v>
      </x:c>
      <x:c r="F881" s="18" t="n">
        <x:v>194</x:v>
      </x:c>
      <x:c r="G881" s="20" t="n">
        <x:f>IFERROR(E881/F881,0)</x:f>
        <x:v>65.12886597938144</x:v>
      </x:c>
      <x:c r="H881" t="str">
        <x:f>TEXT(D881,"mmm")</x:f>
        <x:v>Jan</x:v>
      </x:c>
      <x:c r="I881" s="22" t="n">
        <x:f>MONTH(D881)</x:f>
        <x:v>1</x:v>
      </x:c>
      <x:c r="J881" s="22" t="n">
        <x:f>YEAR(D881)</x:f>
        <x:v>2022</x:v>
      </x:c>
      <x:c r="K881" t="str">
        <x:f>IF(F881&gt;200,"Large Order","Standard Order")</x:f>
        <x:v>Standard Order</x:v>
      </x:c>
    </x:row>
    <x:row r="882">
      <x:c r="A882" t="str">
        <x:v>Dotty Strutley</x:v>
      </x:c>
      <x:c r="B882" t="str">
        <x:v>UK</x:v>
      </x:c>
      <x:c r="C882" t="str">
        <x:v>Mint Chip Choco</x:v>
      </x:c>
      <x:c r="D882" s="14" t="n">
        <x:v>44756</x:v>
      </x:c>
      <x:c r="E882" s="16" t="n">
        <x:v>2443</x:v>
      </x:c>
      <x:c r="F882" s="18" t="n">
        <x:v>216</x:v>
      </x:c>
      <x:c r="G882" s="20" t="n">
        <x:f>IFERROR(E882/F882,0)</x:f>
        <x:v>11.310185185185185</x:v>
      </x:c>
      <x:c r="H882" t="str">
        <x:f>TEXT(D882,"mmm")</x:f>
        <x:v>Jul</x:v>
      </x:c>
      <x:c r="I882" s="22" t="n">
        <x:f>MONTH(D882)</x:f>
        <x:v>7</x:v>
      </x:c>
      <x:c r="J882" s="22" t="n">
        <x:f>YEAR(D882)</x:f>
        <x:v>2022</x:v>
      </x:c>
      <x:c r="K882" t="str">
        <x:f>IF(F882&gt;200,"Large Order","Standard Order")</x:f>
        <x:v>Large Order</x:v>
      </x:c>
    </x:row>
    <x:row r="883">
      <x:c r="A883" t="str">
        <x:v>Barr Faughny</x:v>
      </x:c>
      <x:c r="B883" t="str">
        <x:v>Canada</x:v>
      </x:c>
      <x:c r="C883" t="str">
        <x:v>Drinking Coco</x:v>
      </x:c>
      <x:c r="D883" s="14" t="n">
        <x:v>44669</x:v>
      </x:c>
      <x:c r="E883" s="16" t="n">
        <x:v>6237</x:v>
      </x:c>
      <x:c r="F883" s="18" t="n">
        <x:v>247</x:v>
      </x:c>
      <x:c r="G883" s="20" t="n">
        <x:f>IFERROR(E883/F883,0)</x:f>
        <x:v>25.251012145748987</x:v>
      </x:c>
      <x:c r="H883" t="str">
        <x:f>TEXT(D883,"mmm")</x:f>
        <x:v>Apr</x:v>
      </x:c>
      <x:c r="I883" s="22" t="n">
        <x:f>MONTH(D883)</x:f>
        <x:v>4</x:v>
      </x:c>
      <x:c r="J883" s="22" t="n">
        <x:f>YEAR(D883)</x:f>
        <x:v>2022</x:v>
      </x:c>
      <x:c r="K883" t="str">
        <x:f>IF(F883&gt;200,"Large Order","Standard Order")</x:f>
        <x:v>Large Order</x:v>
      </x:c>
    </x:row>
    <x:row r="884">
      <x:c r="A884" t="str">
        <x:v>Oby Sorrel</x:v>
      </x:c>
      <x:c r="B884" t="str">
        <x:v>USA</x:v>
      </x:c>
      <x:c r="C884" t="str">
        <x:v>Milk Bars</x:v>
      </x:c>
      <x:c r="D884" s="14" t="n">
        <x:v>44726</x:v>
      </x:c>
      <x:c r="E884" s="16" t="n">
        <x:v>1736</x:v>
      </x:c>
      <x:c r="F884" s="18" t="n">
        <x:v>79</x:v>
      </x:c>
      <x:c r="G884" s="20" t="n">
        <x:f>IFERROR(E884/F884,0)</x:f>
        <x:v>21.974683544303797</x:v>
      </x:c>
      <x:c r="H884" t="str">
        <x:f>TEXT(D884,"mmm")</x:f>
        <x:v>Jun</x:v>
      </x:c>
      <x:c r="I884" s="22" t="n">
        <x:f>MONTH(D884)</x:f>
        <x:v>6</x:v>
      </x:c>
      <x:c r="J884" s="22" t="n">
        <x:f>YEAR(D884)</x:f>
        <x:v>2022</x:v>
      </x:c>
      <x:c r="K884" t="str">
        <x:f>IF(F884&gt;200,"Large Order","Standard Order")</x:f>
        <x:v>Standard Order</x:v>
      </x:c>
    </x:row>
    <x:row r="885">
      <x:c r="A885" t="str">
        <x:v>Oby Sorrel</x:v>
      </x:c>
      <x:c r="B885" t="str">
        <x:v>UK</x:v>
      </x:c>
      <x:c r="C885" t="str">
        <x:v>Orange Choco</x:v>
      </x:c>
      <x:c r="D885" s="14" t="n">
        <x:v>44666</x:v>
      </x:c>
      <x:c r="E885" s="16" t="n">
        <x:v>7315</x:v>
      </x:c>
      <x:c r="F885" s="18" t="n">
        <x:v>237</x:v>
      </x:c>
      <x:c r="G885" s="20" t="n">
        <x:f>IFERROR(E885/F885,0)</x:f>
        <x:v>30.864978902953588</x:v>
      </x:c>
      <x:c r="H885" t="str">
        <x:f>TEXT(D885,"mmm")</x:f>
        <x:v>Apr</x:v>
      </x:c>
      <x:c r="I885" s="22" t="n">
        <x:f>MONTH(D885)</x:f>
        <x:v>4</x:v>
      </x:c>
      <x:c r="J885" s="22" t="n">
        <x:f>YEAR(D885)</x:f>
        <x:v>2022</x:v>
      </x:c>
      <x:c r="K885" t="str">
        <x:f>IF(F885&gt;200,"Large Order","Standard Order")</x:f>
        <x:v>Large Order</x:v>
      </x:c>
    </x:row>
    <x:row r="886">
      <x:c r="A886" t="str">
        <x:v>Curtice Advani</x:v>
      </x:c>
      <x:c r="B886" t="str">
        <x:v>Canada</x:v>
      </x:c>
      <x:c r="C886" t="str">
        <x:v>Peanut Butter Cubes</x:v>
      </x:c>
      <x:c r="D886" s="14" t="n">
        <x:v>44700</x:v>
      </x:c>
      <x:c r="E886" s="16" t="n">
        <x:v>4935</x:v>
      </x:c>
      <x:c r="F886" s="18" t="n">
        <x:v>63</x:v>
      </x:c>
      <x:c r="G886" s="20" t="n">
        <x:f>IFERROR(E886/F886,0)</x:f>
        <x:v>78.33333333333333</x:v>
      </x:c>
      <x:c r="H886" t="str">
        <x:f>TEXT(D886,"mmm")</x:f>
        <x:v>May</x:v>
      </x:c>
      <x:c r="I886" s="22" t="n">
        <x:f>MONTH(D886)</x:f>
        <x:v>5</x:v>
      </x:c>
      <x:c r="J886" s="22" t="n">
        <x:f>YEAR(D886)</x:f>
        <x:v>2022</x:v>
      </x:c>
      <x:c r="K886" t="str">
        <x:f>IF(F886&gt;200,"Large Order","Standard Order")</x:f>
        <x:v>Standard Order</x:v>
      </x:c>
    </x:row>
    <x:row r="887">
      <x:c r="A887" t="str">
        <x:v>Gigi Bohling</x:v>
      </x:c>
      <x:c r="B887" t="str">
        <x:v>India</x:v>
      </x:c>
      <x:c r="C887" t="str">
        <x:v>White Choc</x:v>
      </x:c>
      <x:c r="D887" s="14" t="n">
        <x:v>44664</x:v>
      </x:c>
      <x:c r="E887" s="16" t="n">
        <x:v>1393</x:v>
      </x:c>
      <x:c r="F887" s="18" t="n">
        <x:v>172</x:v>
      </x:c>
      <x:c r="G887" s="20" t="n">
        <x:f>IFERROR(E887/F887,0)</x:f>
        <x:v>8.098837209302326</x:v>
      </x:c>
      <x:c r="H887" t="str">
        <x:f>TEXT(D887,"mmm")</x:f>
        <x:v>Apr</x:v>
      </x:c>
      <x:c r="I887" s="22" t="n">
        <x:f>MONTH(D887)</x:f>
        <x:v>4</x:v>
      </x:c>
      <x:c r="J887" s="22" t="n">
        <x:f>YEAR(D887)</x:f>
        <x:v>2022</x:v>
      </x:c>
      <x:c r="K887" t="str">
        <x:f>IF(F887&gt;200,"Large Order","Standard Order")</x:f>
        <x:v>Standard Order</x:v>
      </x:c>
    </x:row>
    <x:row r="888">
      <x:c r="A888" t="str">
        <x:v>Husein Augar</x:v>
      </x:c>
      <x:c r="B888" t="str">
        <x:v>Canada</x:v>
      </x:c>
      <x:c r="C888" t="str">
        <x:v>Choco Coated Almonds</x:v>
      </x:c>
      <x:c r="D888" s="14" t="n">
        <x:v>44788</x:v>
      </x:c>
      <x:c r="E888" s="16" t="n">
        <x:v>3381</x:v>
      </x:c>
      <x:c r="F888" s="18" t="n">
        <x:v>408</x:v>
      </x:c>
      <x:c r="G888" s="20" t="n">
        <x:f>IFERROR(E888/F888,0)</x:f>
        <x:v>8.286764705882353</x:v>
      </x:c>
      <x:c r="H888" t="str">
        <x:f>TEXT(D888,"mmm")</x:f>
        <x:v>Aug</x:v>
      </x:c>
      <x:c r="I888" s="22" t="n">
        <x:f>MONTH(D888)</x:f>
        <x:v>8</x:v>
      </x:c>
      <x:c r="J888" s="22" t="n">
        <x:f>YEAR(D888)</x:f>
        <x:v>2022</x:v>
      </x:c>
      <x:c r="K888" t="str">
        <x:f>IF(F888&gt;200,"Large Order","Standard Order")</x:f>
        <x:v>Large Order</x:v>
      </x:c>
    </x:row>
    <x:row r="889">
      <x:c r="A889" t="str">
        <x:v>Wilone O'Kielt</x:v>
      </x:c>
      <x:c r="B889" t="str">
        <x:v>India</x:v>
      </x:c>
      <x:c r="C889" t="str">
        <x:v>Choco Coated Almonds</x:v>
      </x:c>
      <x:c r="D889" s="14" t="n">
        <x:v>44795</x:v>
      </x:c>
      <x:c r="E889" s="16" t="n">
        <x:v>2933</x:v>
      </x:c>
      <x:c r="F889" s="18" t="n">
        <x:v>233</x:v>
      </x:c>
      <x:c r="G889" s="20" t="n">
        <x:f>IFERROR(E889/F889,0)</x:f>
        <x:v>12.587982832618026</x:v>
      </x:c>
      <x:c r="H889" t="str">
        <x:f>TEXT(D889,"mmm")</x:f>
        <x:v>Aug</x:v>
      </x:c>
      <x:c r="I889" s="22" t="n">
        <x:f>MONTH(D889)</x:f>
        <x:v>8</x:v>
      </x:c>
      <x:c r="J889" s="22" t="n">
        <x:f>YEAR(D889)</x:f>
        <x:v>2022</x:v>
      </x:c>
      <x:c r="K889" t="str">
        <x:f>IF(F889&gt;200,"Large Order","Standard Order")</x:f>
        <x:v>Large Order</x:v>
      </x:c>
    </x:row>
    <x:row r="890">
      <x:c r="A890" t="str">
        <x:v>Wilone O'Kielt</x:v>
      </x:c>
      <x:c r="B890" t="str">
        <x:v>New Zealand</x:v>
      </x:c>
      <x:c r="C890" t="str">
        <x:v>Baker's Choco Chips</x:v>
      </x:c>
      <x:c r="D890" s="14" t="n">
        <x:v>44673</x:v>
      </x:c>
      <x:c r="E890" s="16" t="n">
        <x:v>3836</x:v>
      </x:c>
      <x:c r="F890" s="18" t="n">
        <x:v>59</x:v>
      </x:c>
      <x:c r="G890" s="20" t="n">
        <x:f>IFERROR(E890/F890,0)</x:f>
        <x:v>65.01694915254237</x:v>
      </x:c>
      <x:c r="H890" t="str">
        <x:f>TEXT(D890,"mmm")</x:f>
        <x:v>Apr</x:v>
      </x:c>
      <x:c r="I890" s="22" t="n">
        <x:f>MONTH(D890)</x:f>
        <x:v>4</x:v>
      </x:c>
      <x:c r="J890" s="22" t="n">
        <x:f>YEAR(D890)</x:f>
        <x:v>2022</x:v>
      </x:c>
      <x:c r="K890" t="str">
        <x:f>IF(F890&gt;200,"Large Order","Standard Order")</x:f>
        <x:v>Standard Order</x:v>
      </x:c>
    </x:row>
    <x:row r="891">
      <x:c r="A891" t="str">
        <x:v>Kaine Padly</x:v>
      </x:c>
      <x:c r="B891" t="str">
        <x:v>UK</x:v>
      </x:c>
      <x:c r="C891" t="str">
        <x:v>Choco Coated Almonds</x:v>
      </x:c>
      <x:c r="D891" s="14" t="n">
        <x:v>44776</x:v>
      </x:c>
      <x:c r="E891" s="16" t="n">
        <x:v>8022</x:v>
      </x:c>
      <x:c r="F891" s="18" t="n">
        <x:v>123</x:v>
      </x:c>
      <x:c r="G891" s="20" t="n">
        <x:f>IFERROR(E891/F891,0)</x:f>
        <x:v>65.21951219512195</x:v>
      </x:c>
      <x:c r="H891" t="str">
        <x:f>TEXT(D891,"mmm")</x:f>
        <x:v>Aug</x:v>
      </x:c>
      <x:c r="I891" s="22" t="n">
        <x:f>MONTH(D891)</x:f>
        <x:v>8</x:v>
      </x:c>
      <x:c r="J891" s="22" t="n">
        <x:f>YEAR(D891)</x:f>
        <x:v>2022</x:v>
      </x:c>
      <x:c r="K891" t="str">
        <x:f>IF(F891&gt;200,"Large Order","Standard Order")</x:f>
        <x:v>Standard Order</x:v>
      </x:c>
    </x:row>
    <x:row r="892">
      <x:c r="A892" t="str">
        <x:v>Dennison Crosswaite</x:v>
      </x:c>
      <x:c r="B892" t="str">
        <x:v>New Zealand</x:v>
      </x:c>
      <x:c r="C892" t="str">
        <x:v>Organic Choco Syrup</x:v>
      </x:c>
      <x:c r="D892" s="14" t="n">
        <x:v>44565</x:v>
      </x:c>
      <x:c r="E892" s="16" t="n">
        <x:v>371</x:v>
      </x:c>
      <x:c r="F892" s="18" t="n">
        <x:v>229</x:v>
      </x:c>
      <x:c r="G892" s="20" t="n">
        <x:f>IFERROR(E892/F892,0)</x:f>
        <x:v>1.6200873362445414</x:v>
      </x:c>
      <x:c r="H892" t="str">
        <x:f>TEXT(D892,"mmm")</x:f>
        <x:v>Jan</x:v>
      </x:c>
      <x:c r="I892" s="22" t="n">
        <x:f>MONTH(D892)</x:f>
        <x:v>1</x:v>
      </x:c>
      <x:c r="J892" s="22" t="n">
        <x:f>YEAR(D892)</x:f>
        <x:v>2022</x:v>
      </x:c>
      <x:c r="K892" t="str">
        <x:f>IF(F892&gt;200,"Large Order","Standard Order")</x:f>
        <x:v>Large Order</x:v>
      </x:c>
    </x:row>
    <x:row r="893">
      <x:c r="A893" t="str">
        <x:v>Kelci Walkden</x:v>
      </x:c>
      <x:c r="B893" t="str">
        <x:v>Canada</x:v>
      </x:c>
      <x:c r="C893" t="str">
        <x:v>After Nines</x:v>
      </x:c>
      <x:c r="D893" s="14" t="n">
        <x:v>44574</x:v>
      </x:c>
      <x:c r="E893" s="16" t="n">
        <x:v>16702</x:v>
      </x:c>
      <x:c r="F893" s="18" t="n">
        <x:v>198</x:v>
      </x:c>
      <x:c r="G893" s="20" t="n">
        <x:f>IFERROR(E893/F893,0)</x:f>
        <x:v>84.35353535353535</x:v>
      </x:c>
      <x:c r="H893" t="str">
        <x:f>TEXT(D893,"mmm")</x:f>
        <x:v>Jan</x:v>
      </x:c>
      <x:c r="I893" s="22" t="n">
        <x:f>MONTH(D893)</x:f>
        <x:v>1</x:v>
      </x:c>
      <x:c r="J893" s="22" t="n">
        <x:f>YEAR(D893)</x:f>
        <x:v>2022</x:v>
      </x:c>
      <x:c r="K893" t="str">
        <x:f>IF(F893&gt;200,"Large Order","Standard Order")</x:f>
        <x:v>Standard Order</x:v>
      </x:c>
    </x:row>
    <x:row r="894">
      <x:c r="A894" t="str">
        <x:v>Van Tuxwell</x:v>
      </x:c>
      <x:c r="B894" t="str">
        <x:v>Australia</x:v>
      </x:c>
      <x:c r="C894" t="str">
        <x:v>Baker's Choco Chips</x:v>
      </x:c>
      <x:c r="D894" s="14" t="n">
        <x:v>44692</x:v>
      </x:c>
      <x:c r="E894" s="16" t="n">
        <x:v>13258</x:v>
      </x:c>
      <x:c r="F894" s="18" t="n">
        <x:v>32</x:v>
      </x:c>
      <x:c r="G894" s="20" t="n">
        <x:f>IFERROR(E894/F894,0)</x:f>
        <x:v>414.3125</x:v>
      </x:c>
      <x:c r="H894" t="str">
        <x:f>TEXT(D894,"mmm")</x:f>
        <x:v>May</x:v>
      </x:c>
      <x:c r="I894" s="22" t="n">
        <x:f>MONTH(D894)</x:f>
        <x:v>5</x:v>
      </x:c>
      <x:c r="J894" s="22" t="n">
        <x:f>YEAR(D894)</x:f>
        <x:v>2022</x:v>
      </x:c>
      <x:c r="K894" t="str">
        <x:f>IF(F894&gt;200,"Large Order","Standard Order")</x:f>
        <x:v>Standard Order</x:v>
      </x:c>
    </x:row>
    <x:row r="895">
      <x:c r="A895" t="str">
        <x:v>Husein Augar</x:v>
      </x:c>
      <x:c r="B895" t="str">
        <x:v>New Zealand</x:v>
      </x:c>
      <x:c r="C895" t="str">
        <x:v>Peanut Butter Cubes</x:v>
      </x:c>
      <x:c r="D895" s="14" t="n">
        <x:v>44608</x:v>
      </x:c>
      <x:c r="E895" s="16" t="n">
        <x:v>2058</x:v>
      </x:c>
      <x:c r="F895" s="18" t="n">
        <x:v>236</x:v>
      </x:c>
      <x:c r="G895" s="20" t="n">
        <x:f>IFERROR(E895/F895,0)</x:f>
        <x:v>8.720338983050848</x:v>
      </x:c>
      <x:c r="H895" t="str">
        <x:f>TEXT(D895,"mmm")</x:f>
        <x:v>Feb</x:v>
      </x:c>
      <x:c r="I895" s="22" t="n">
        <x:f>MONTH(D895)</x:f>
        <x:v>2</x:v>
      </x:c>
      <x:c r="J895" s="22" t="n">
        <x:f>YEAR(D895)</x:f>
        <x:v>2022</x:v>
      </x:c>
      <x:c r="K895" t="str">
        <x:f>IF(F895&gt;200,"Large Order","Standard Order")</x:f>
        <x:v>Large Order</x:v>
      </x:c>
    </x:row>
    <x:row r="896">
      <x:c r="A896" t="str">
        <x:v>Kaine Padly</x:v>
      </x:c>
      <x:c r="B896" t="str">
        <x:v>UK</x:v>
      </x:c>
      <x:c r="C896" t="str">
        <x:v>Caramel Stuffed Bars</x:v>
      </x:c>
      <x:c r="D896" s="14" t="n">
        <x:v>44701</x:v>
      </x:c>
      <x:c r="E896" s="16" t="n">
        <x:v>10192</x:v>
      </x:c>
      <x:c r="F896" s="18" t="n">
        <x:v>67</x:v>
      </x:c>
      <x:c r="G896" s="20" t="n">
        <x:f>IFERROR(E896/F896,0)</x:f>
        <x:v>152.11940298507463</x:v>
      </x:c>
      <x:c r="H896" t="str">
        <x:f>TEXT(D896,"mmm")</x:f>
        <x:v>May</x:v>
      </x:c>
      <x:c r="I896" s="22" t="n">
        <x:f>MONTH(D896)</x:f>
        <x:v>5</x:v>
      </x:c>
      <x:c r="J896" s="22" t="n">
        <x:f>YEAR(D896)</x:f>
        <x:v>2022</x:v>
      </x:c>
      <x:c r="K896" t="str">
        <x:f>IF(F896&gt;200,"Large Order","Standard Order")</x:f>
        <x:v>Standard Order</x:v>
      </x:c>
    </x:row>
    <x:row r="897">
      <x:c r="A897" t="str">
        <x:v>Jehu Rudeforth</x:v>
      </x:c>
      <x:c r="B897" t="str">
        <x:v>UK</x:v>
      </x:c>
      <x:c r="C897" t="str">
        <x:v>Drinking Coco</x:v>
      </x:c>
      <x:c r="D897" s="14" t="n">
        <x:v>44595</x:v>
      </x:c>
      <x:c r="E897" s="16" t="n">
        <x:v>7140</x:v>
      </x:c>
      <x:c r="F897" s="18" t="n">
        <x:v>438</x:v>
      </x:c>
      <x:c r="G897" s="20" t="n">
        <x:f>IFERROR(E897/F897,0)</x:f>
        <x:v>16.301369863013697</x:v>
      </x:c>
      <x:c r="H897" t="str">
        <x:f>TEXT(D897,"mmm")</x:f>
        <x:v>Feb</x:v>
      </x:c>
      <x:c r="I897" s="22" t="n">
        <x:f>MONTH(D897)</x:f>
        <x:v>2</x:v>
      </x:c>
      <x:c r="J897" s="22" t="n">
        <x:f>YEAR(D897)</x:f>
        <x:v>2022</x:v>
      </x:c>
      <x:c r="K897" t="str">
        <x:f>IF(F897&gt;200,"Large Order","Standard Order")</x:f>
        <x:v>Large Order</x:v>
      </x:c>
    </x:row>
    <x:row r="898">
      <x:c r="A898" t="str">
        <x:v>Beverie Moffet</x:v>
      </x:c>
      <x:c r="B898" t="str">
        <x:v>India</x:v>
      </x:c>
      <x:c r="C898" t="str">
        <x:v>Manuka Honey Choco</x:v>
      </x:c>
      <x:c r="D898" s="14" t="n">
        <x:v>44687</x:v>
      </x:c>
      <x:c r="E898" s="16" t="n">
        <x:v>9835</x:v>
      </x:c>
      <x:c r="F898" s="18" t="n">
        <x:v>167</x:v>
      </x:c>
      <x:c r="G898" s="20" t="n">
        <x:f>IFERROR(E898/F898,0)</x:f>
        <x:v>58.89221556886228</x:v>
      </x:c>
      <x:c r="H898" t="str">
        <x:f>TEXT(D898,"mmm")</x:f>
        <x:v>May</x:v>
      </x:c>
      <x:c r="I898" s="22" t="n">
        <x:f>MONTH(D898)</x:f>
        <x:v>5</x:v>
      </x:c>
      <x:c r="J898" s="22" t="n">
        <x:f>YEAR(D898)</x:f>
        <x:v>2022</x:v>
      </x:c>
      <x:c r="K898" t="str">
        <x:f>IF(F898&gt;200,"Large Order","Standard Order")</x:f>
        <x:v>Standard Order</x:v>
      </x:c>
    </x:row>
    <x:row r="899">
      <x:c r="A899" t="str">
        <x:v>Gunar Cockshoot</x:v>
      </x:c>
      <x:c r="B899" t="str">
        <x:v>UK</x:v>
      </x:c>
      <x:c r="C899" t="str">
        <x:v>Choco Coated Almonds</x:v>
      </x:c>
      <x:c r="D899" s="14" t="n">
        <x:v>44742</x:v>
      </x:c>
      <x:c r="E899" s="16" t="n">
        <x:v>5775</x:v>
      </x:c>
      <x:c r="F899" s="18" t="n">
        <x:v>135</x:v>
      </x:c>
      <x:c r="G899" s="20" t="n">
        <x:f>IFERROR(E899/F899,0)</x:f>
        <x:v>42.77777777777778</x:v>
      </x:c>
      <x:c r="H899" t="str">
        <x:f>TEXT(D899,"mmm")</x:f>
        <x:v>Jun</x:v>
      </x:c>
      <x:c r="I899" s="22" t="n">
        <x:f>MONTH(D899)</x:f>
        <x:v>6</x:v>
      </x:c>
      <x:c r="J899" s="22" t="n">
        <x:f>YEAR(D899)</x:f>
        <x:v>2022</x:v>
      </x:c>
      <x:c r="K899" t="str">
        <x:f>IF(F899&gt;200,"Large Order","Standard Order")</x:f>
        <x:v>Standard Order</x:v>
      </x:c>
    </x:row>
    <x:row r="900">
      <x:c r="A900" t="str">
        <x:v>Gunar Cockshoot</x:v>
      </x:c>
      <x:c r="B900" t="str">
        <x:v>UK</x:v>
      </x:c>
      <x:c r="C900" t="str">
        <x:v>Smooth Silky Salty</x:v>
      </x:c>
      <x:c r="D900" s="14" t="n">
        <x:v>44642</x:v>
      </x:c>
      <x:c r="E900" s="16" t="n">
        <x:v>749</x:v>
      </x:c>
      <x:c r="F900" s="18" t="n">
        <x:v>148</x:v>
      </x:c>
      <x:c r="G900" s="20" t="n">
        <x:f>IFERROR(E900/F900,0)</x:f>
        <x:v>5.0608108108108105</x:v>
      </x:c>
      <x:c r="H900" t="str">
        <x:f>TEXT(D900,"mmm")</x:f>
        <x:v>Mar</x:v>
      </x:c>
      <x:c r="I900" s="22" t="n">
        <x:f>MONTH(D900)</x:f>
        <x:v>3</x:v>
      </x:c>
      <x:c r="J900" s="22" t="n">
        <x:f>YEAR(D900)</x:f>
        <x:v>2022</x:v>
      </x:c>
      <x:c r="K900" t="str">
        <x:f>IF(F900&gt;200,"Large Order","Standard Order")</x:f>
        <x:v>Standard Order</x:v>
      </x:c>
    </x:row>
    <x:row r="901">
      <x:c r="A901" t="str">
        <x:v>Camilla Castle</x:v>
      </x:c>
      <x:c r="B901" t="str">
        <x:v>Canada</x:v>
      </x:c>
      <x:c r="C901" t="str">
        <x:v>Orange Choco</x:v>
      </x:c>
      <x:c r="D901" s="14" t="n">
        <x:v>44609</x:v>
      </x:c>
      <x:c r="E901" s="16" t="n">
        <x:v>7770</x:v>
      </x:c>
      <x:c r="F901" s="18" t="n">
        <x:v>54</x:v>
      </x:c>
      <x:c r="G901" s="20" t="n">
        <x:f>IFERROR(E901/F901,0)</x:f>
        <x:v>143.88888888888889</x:v>
      </x:c>
      <x:c r="H901" t="str">
        <x:f>TEXT(D901,"mmm")</x:f>
        <x:v>Feb</x:v>
      </x:c>
      <x:c r="I901" s="22" t="n">
        <x:f>MONTH(D901)</x:f>
        <x:v>2</x:v>
      </x:c>
      <x:c r="J901" s="22" t="n">
        <x:f>YEAR(D901)</x:f>
        <x:v>2022</x:v>
      </x:c>
      <x:c r="K901" t="str">
        <x:f>IF(F901&gt;200,"Large Order","Standard Order")</x:f>
        <x:v>Standard Order</x:v>
      </x:c>
    </x:row>
    <x:row r="902">
      <x:c r="A902" t="str">
        <x:v>Jehu Rudeforth</x:v>
      </x:c>
      <x:c r="B902" t="str">
        <x:v>UK</x:v>
      </x:c>
      <x:c r="C902" t="str">
        <x:v>85% Dark Bars</x:v>
      </x:c>
      <x:c r="D902" s="14" t="n">
        <x:v>44749</x:v>
      </x:c>
      <x:c r="E902" s="16" t="n">
        <x:v>5502</x:v>
      </x:c>
      <x:c r="F902" s="18" t="n">
        <x:v>64</x:v>
      </x:c>
      <x:c r="G902" s="20" t="n">
        <x:f>IFERROR(E902/F902,0)</x:f>
        <x:v>85.96875</x:v>
      </x:c>
      <x:c r="H902" t="str">
        <x:f>TEXT(D902,"mmm")</x:f>
        <x:v>Jul</x:v>
      </x:c>
      <x:c r="I902" s="22" t="n">
        <x:f>MONTH(D902)</x:f>
        <x:v>7</x:v>
      </x:c>
      <x:c r="J902" s="22" t="n">
        <x:f>YEAR(D902)</x:f>
        <x:v>2022</x:v>
      </x:c>
      <x:c r="K902" t="str">
        <x:f>IF(F902&gt;200,"Large Order","Standard Order")</x:f>
        <x:v>Standard Order</x:v>
      </x:c>
    </x:row>
    <x:row r="903">
      <x:c r="A903" t="str">
        <x:v>Oby Sorrel</x:v>
      </x:c>
      <x:c r="B903" t="str">
        <x:v>UK</x:v>
      </x:c>
      <x:c r="C903" t="str">
        <x:v>70% Dark Bites</x:v>
      </x:c>
      <x:c r="D903" s="14" t="n">
        <x:v>44636</x:v>
      </x:c>
      <x:c r="E903" s="16" t="n">
        <x:v>6223</x:v>
      </x:c>
      <x:c r="F903" s="18" t="n">
        <x:v>181</x:v>
      </x:c>
      <x:c r="G903" s="20" t="n">
        <x:f>IFERROR(E903/F903,0)</x:f>
        <x:v>34.38121546961326</x:v>
      </x:c>
      <x:c r="H903" t="str">
        <x:f>TEXT(D903,"mmm")</x:f>
        <x:v>Mar</x:v>
      </x:c>
      <x:c r="I903" s="22" t="n">
        <x:f>MONTH(D903)</x:f>
        <x:v>3</x:v>
      </x:c>
      <x:c r="J903" s="22" t="n">
        <x:f>YEAR(D903)</x:f>
        <x:v>2022</x:v>
      </x:c>
      <x:c r="K903" t="str">
        <x:f>IF(F903&gt;200,"Large Order","Standard Order")</x:f>
        <x:v>Standard Order</x:v>
      </x:c>
    </x:row>
    <x:row r="904">
      <x:c r="A904" t="str">
        <x:v>Kelci Walkden</x:v>
      </x:c>
      <x:c r="B904" t="str">
        <x:v>UK</x:v>
      </x:c>
      <x:c r="C904" t="str">
        <x:v>99% Dark &amp; Pure</x:v>
      </x:c>
      <x:c r="D904" s="14" t="n">
        <x:v>44785</x:v>
      </x:c>
      <x:c r="E904" s="16" t="n">
        <x:v>3507</x:v>
      </x:c>
      <x:c r="F904" s="18" t="n">
        <x:v>114</x:v>
      </x:c>
      <x:c r="G904" s="20" t="n">
        <x:f>IFERROR(E904/F904,0)</x:f>
        <x:v>30.763157894736842</x:v>
      </x:c>
      <x:c r="H904" t="str">
        <x:f>TEXT(D904,"mmm")</x:f>
        <x:v>Aug</x:v>
      </x:c>
      <x:c r="I904" s="22" t="n">
        <x:f>MONTH(D904)</x:f>
        <x:v>8</x:v>
      </x:c>
      <x:c r="J904" s="22" t="n">
        <x:f>YEAR(D904)</x:f>
        <x:v>2022</x:v>
      </x:c>
      <x:c r="K904" t="str">
        <x:f>IF(F904&gt;200,"Large Order","Standard Order")</x:f>
        <x:v>Standard Order</x:v>
      </x:c>
    </x:row>
    <x:row r="905">
      <x:c r="A905" t="str">
        <x:v>Gigi Bohling</x:v>
      </x:c>
      <x:c r="B905" t="str">
        <x:v>New Zealand</x:v>
      </x:c>
      <x:c r="C905" t="str">
        <x:v>After Nines</x:v>
      </x:c>
      <x:c r="D905" s="14" t="n">
        <x:v>44582</x:v>
      </x:c>
      <x:c r="E905" s="16" t="n">
        <x:v>5600</x:v>
      </x:c>
      <x:c r="F905" s="18" t="n">
        <x:v>181</x:v>
      </x:c>
      <x:c r="G905" s="20" t="n">
        <x:f>IFERROR(E905/F905,0)</x:f>
        <x:v>30.939226519337016</x:v>
      </x:c>
      <x:c r="H905" t="str">
        <x:f>TEXT(D905,"mmm")</x:f>
        <x:v>Jan</x:v>
      </x:c>
      <x:c r="I905" s="22" t="n">
        <x:f>MONTH(D905)</x:f>
        <x:v>1</x:v>
      </x:c>
      <x:c r="J905" s="22" t="n">
        <x:f>YEAR(D905)</x:f>
        <x:v>2022</x:v>
      </x:c>
      <x:c r="K905" t="str">
        <x:f>IF(F905&gt;200,"Large Order","Standard Order")</x:f>
        <x:v>Standard Order</x:v>
      </x:c>
    </x:row>
    <x:row r="906">
      <x:c r="A906" t="str">
        <x:v>Oby Sorrel</x:v>
      </x:c>
      <x:c r="B906" t="str">
        <x:v>Australia</x:v>
      </x:c>
      <x:c r="C906" t="str">
        <x:v>50% Dark Bites</x:v>
      </x:c>
      <x:c r="D906" s="14" t="n">
        <x:v>44687</x:v>
      </x:c>
      <x:c r="E906" s="16" t="n">
        <x:v>721</x:v>
      </x:c>
      <x:c r="F906" s="18" t="n">
        <x:v>151</x:v>
      </x:c>
      <x:c r="G906" s="20" t="n">
        <x:f>IFERROR(E906/F906,0)</x:f>
        <x:v>4.774834437086093</x:v>
      </x:c>
      <x:c r="H906" t="str">
        <x:f>TEXT(D906,"mmm")</x:f>
        <x:v>May</x:v>
      </x:c>
      <x:c r="I906" s="22" t="n">
        <x:f>MONTH(D906)</x:f>
        <x:v>5</x:v>
      </x:c>
      <x:c r="J906" s="22" t="n">
        <x:f>YEAR(D906)</x:f>
        <x:v>2022</x:v>
      </x:c>
      <x:c r="K906" t="str">
        <x:f>IF(F906&gt;200,"Large Order","Standard Order")</x:f>
        <x:v>Standard Order</x:v>
      </x:c>
    </x:row>
    <x:row r="907">
      <x:c r="A907" t="str">
        <x:v>Oby Sorrel</x:v>
      </x:c>
      <x:c r="B907" t="str">
        <x:v>Canada</x:v>
      </x:c>
      <x:c r="C907" t="str">
        <x:v>50% Dark Bites</x:v>
      </x:c>
      <x:c r="D907" s="14" t="n">
        <x:v>44736</x:v>
      </x:c>
      <x:c r="E907" s="16" t="n">
        <x:v>6615</x:v>
      </x:c>
      <x:c r="F907" s="18" t="n">
        <x:v>137</x:v>
      </x:c>
      <x:c r="G907" s="20" t="n">
        <x:f>IFERROR(E907/F907,0)</x:f>
        <x:v>48.284671532846716</x:v>
      </x:c>
      <x:c r="H907" t="str">
        <x:f>TEXT(D907,"mmm")</x:f>
        <x:v>Jun</x:v>
      </x:c>
      <x:c r="I907" s="22" t="n">
        <x:f>MONTH(D907)</x:f>
        <x:v>6</x:v>
      </x:c>
      <x:c r="J907" s="22" t="n">
        <x:f>YEAR(D907)</x:f>
        <x:v>2022</x:v>
      </x:c>
      <x:c r="K907" t="str">
        <x:f>IF(F907&gt;200,"Large Order","Standard Order")</x:f>
        <x:v>Standard Order</x:v>
      </x:c>
    </x:row>
    <x:row r="908">
      <x:c r="A908" t="str">
        <x:v>Barr Faughny</x:v>
      </x:c>
      <x:c r="B908" t="str">
        <x:v>USA</x:v>
      </x:c>
      <x:c r="C908" t="str">
        <x:v>White Choc</x:v>
      </x:c>
      <x:c r="D908" s="14" t="n">
        <x:v>44686</x:v>
      </x:c>
      <x:c r="E908" s="16" t="n">
        <x:v>7420</x:v>
      </x:c>
      <x:c r="F908" s="18" t="n">
        <x:v>163</x:v>
      </x:c>
      <x:c r="G908" s="20" t="n">
        <x:f>IFERROR(E908/F908,0)</x:f>
        <x:v>45.52147239263804</x:v>
      </x:c>
      <x:c r="H908" t="str">
        <x:f>TEXT(D908,"mmm")</x:f>
        <x:v>May</x:v>
      </x:c>
      <x:c r="I908" s="22" t="n">
        <x:f>MONTH(D908)</x:f>
        <x:v>5</x:v>
      </x:c>
      <x:c r="J908" s="22" t="n">
        <x:f>YEAR(D908)</x:f>
        <x:v>2022</x:v>
      </x:c>
      <x:c r="K908" t="str">
        <x:f>IF(F908&gt;200,"Large Order","Standard Order")</x:f>
        <x:v>Standard Order</x:v>
      </x:c>
    </x:row>
    <x:row r="909">
      <x:c r="A909" t="str">
        <x:v>Rafaelita Blaksland</x:v>
      </x:c>
      <x:c r="B909" t="str">
        <x:v>New Zealand</x:v>
      </x:c>
      <x:c r="C909" t="str">
        <x:v>99% Dark &amp; Pure</x:v>
      </x:c>
      <x:c r="D909" s="14" t="n">
        <x:v>44645</x:v>
      </x:c>
      <x:c r="E909" s="16" t="n">
        <x:v>3164</x:v>
      </x:c>
      <x:c r="F909" s="18" t="n">
        <x:v>84</x:v>
      </x:c>
      <x:c r="G909" s="20" t="n">
        <x:f>IFERROR(E909/F909,0)</x:f>
        <x:v>37.666666666666664</x:v>
      </x:c>
      <x:c r="H909" t="str">
        <x:f>TEXT(D909,"mmm")</x:f>
        <x:v>Mar</x:v>
      </x:c>
      <x:c r="I909" s="22" t="n">
        <x:f>MONTH(D909)</x:f>
        <x:v>3</x:v>
      </x:c>
      <x:c r="J909" s="22" t="n">
        <x:f>YEAR(D909)</x:f>
        <x:v>2022</x:v>
      </x:c>
      <x:c r="K909" t="str">
        <x:f>IF(F909&gt;200,"Large Order","Standard Order")</x:f>
        <x:v>Standard Order</x:v>
      </x:c>
    </x:row>
    <x:row r="910">
      <x:c r="A910" t="str">
        <x:v>Curtice Advani</x:v>
      </x:c>
      <x:c r="B910" t="str">
        <x:v>Australia</x:v>
      </x:c>
      <x:c r="C910" t="str">
        <x:v>Caramel Stuffed Bars</x:v>
      </x:c>
      <x:c r="D910" s="14" t="n">
        <x:v>44606</x:v>
      </x:c>
      <x:c r="E910" s="16" t="n">
        <x:v>9114</x:v>
      </x:c>
      <x:c r="F910" s="18" t="n">
        <x:v>140</x:v>
      </x:c>
      <x:c r="G910" s="20" t="n">
        <x:f>IFERROR(E910/F910,0)</x:f>
        <x:v>65.1</x:v>
      </x:c>
      <x:c r="H910" t="str">
        <x:f>TEXT(D910,"mmm")</x:f>
        <x:v>Feb</x:v>
      </x:c>
      <x:c r="I910" s="22" t="n">
        <x:f>MONTH(D910)</x:f>
        <x:v>2</x:v>
      </x:c>
      <x:c r="J910" s="22" t="n">
        <x:f>YEAR(D910)</x:f>
        <x:v>2022</x:v>
      </x:c>
      <x:c r="K910" t="str">
        <x:f>IF(F910&gt;200,"Large Order","Standard Order")</x:f>
        <x:v>Standard Order</x:v>
      </x:c>
    </x:row>
    <x:row r="911">
      <x:c r="A911" t="str">
        <x:v>Curtice Advani</x:v>
      </x:c>
      <x:c r="B911" t="str">
        <x:v>New Zealand</x:v>
      </x:c>
      <x:c r="C911" t="str">
        <x:v>85% Dark Bars</x:v>
      </x:c>
      <x:c r="D911" s="14" t="n">
        <x:v>44693</x:v>
      </x:c>
      <x:c r="E911" s="16" t="n">
        <x:v>5404</x:v>
      </x:c>
      <x:c r="F911" s="18" t="n">
        <x:v>187</x:v>
      </x:c>
      <x:c r="G911" s="20" t="n">
        <x:f>IFERROR(E911/F911,0)</x:f>
        <x:v>28.898395721925134</x:v>
      </x:c>
      <x:c r="H911" t="str">
        <x:f>TEXT(D911,"mmm")</x:f>
        <x:v>May</x:v>
      </x:c>
      <x:c r="I911" s="22" t="n">
        <x:f>MONTH(D911)</x:f>
        <x:v>5</x:v>
      </x:c>
      <x:c r="J911" s="22" t="n">
        <x:f>YEAR(D911)</x:f>
        <x:v>2022</x:v>
      </x:c>
      <x:c r="K911" t="str">
        <x:f>IF(F911&gt;200,"Large Order","Standard Order")</x:f>
        <x:v>Standard Order</x:v>
      </x:c>
    </x:row>
    <x:row r="912">
      <x:c r="A912" t="str">
        <x:v>Barr Faughny</x:v>
      </x:c>
      <x:c r="B912" t="str">
        <x:v>New Zealand</x:v>
      </x:c>
      <x:c r="C912" t="str">
        <x:v>Smooth Silky Salty</x:v>
      </x:c>
      <x:c r="D912" s="14" t="n">
        <x:v>44586</x:v>
      </x:c>
      <x:c r="E912" s="16" t="n">
        <x:v>3990</x:v>
      </x:c>
      <x:c r="F912" s="18" t="n">
        <x:v>169</x:v>
      </x:c>
      <x:c r="G912" s="20" t="n">
        <x:f>IFERROR(E912/F912,0)</x:f>
        <x:v>23.609467455621303</x:v>
      </x:c>
      <x:c r="H912" t="str">
        <x:f>TEXT(D912,"mmm")</x:f>
        <x:v>Jan</x:v>
      </x:c>
      <x:c r="I912" s="22" t="n">
        <x:f>MONTH(D912)</x:f>
        <x:v>1</x:v>
      </x:c>
      <x:c r="J912" s="22" t="n">
        <x:f>YEAR(D912)</x:f>
        <x:v>2022</x:v>
      </x:c>
      <x:c r="K912" t="str">
        <x:f>IF(F912&gt;200,"Large Order","Standard Order")</x:f>
        <x:v>Standard Order</x:v>
      </x:c>
    </x:row>
    <x:row r="913">
      <x:c r="A913" t="str">
        <x:v>Ches Bonnell</x:v>
      </x:c>
      <x:c r="B913" t="str">
        <x:v>UK</x:v>
      </x:c>
      <x:c r="C913" t="str">
        <x:v>85% Dark Bars</x:v>
      </x:c>
      <x:c r="D913" s="14" t="n">
        <x:v>44740</x:v>
      </x:c>
      <x:c r="E913" s="16" t="n">
        <x:v>14924</x:v>
      </x:c>
      <x:c r="F913" s="18" t="n">
        <x:v>12</x:v>
      </x:c>
      <x:c r="G913" s="20" t="n">
        <x:f>IFERROR(E913/F913,0)</x:f>
        <x:v>1243.6666666666667</x:v>
      </x:c>
      <x:c r="H913" t="str">
        <x:f>TEXT(D913,"mmm")</x:f>
        <x:v>Jun</x:v>
      </x:c>
      <x:c r="I913" s="22" t="n">
        <x:f>MONTH(D913)</x:f>
        <x:v>6</x:v>
      </x:c>
      <x:c r="J913" s="22" t="n">
        <x:f>YEAR(D913)</x:f>
        <x:v>2022</x:v>
      </x:c>
      <x:c r="K913" t="str">
        <x:f>IF(F913&gt;200,"Large Order","Standard Order")</x:f>
        <x:v>Standard Order</x:v>
      </x:c>
    </x:row>
    <x:row r="914">
      <x:c r="A914" t="str">
        <x:v>Dennison Crosswaite</x:v>
      </x:c>
      <x:c r="B914" t="str">
        <x:v>Australia</x:v>
      </x:c>
      <x:c r="C914" t="str">
        <x:v>Drinking Coco</x:v>
      </x:c>
      <x:c r="D914" s="14" t="n">
        <x:v>44755</x:v>
      </x:c>
      <x:c r="E914" s="16" t="n">
        <x:v>7091</x:v>
      </x:c>
      <x:c r="F914" s="18" t="n">
        <x:v>194</x:v>
      </x:c>
      <x:c r="G914" s="20" t="n">
        <x:f>IFERROR(E914/F914,0)</x:f>
        <x:v>36.55154639175258</x:v>
      </x:c>
      <x:c r="H914" t="str">
        <x:f>TEXT(D914,"mmm")</x:f>
        <x:v>Jul</x:v>
      </x:c>
      <x:c r="I914" s="22" t="n">
        <x:f>MONTH(D914)</x:f>
        <x:v>7</x:v>
      </x:c>
      <x:c r="J914" s="22" t="n">
        <x:f>YEAR(D914)</x:f>
        <x:v>2022</x:v>
      </x:c>
      <x:c r="K914" t="str">
        <x:f>IF(F914&gt;200,"Large Order","Standard Order")</x:f>
        <x:v>Standard Order</x:v>
      </x:c>
    </x:row>
    <x:row r="915">
      <x:c r="A915" t="str">
        <x:v>Roddy Speechley</x:v>
      </x:c>
      <x:c r="B915" t="str">
        <x:v>USA</x:v>
      </x:c>
      <x:c r="C915" t="str">
        <x:v>Milk Bars</x:v>
      </x:c>
      <x:c r="D915" s="14" t="n">
        <x:v>44697</x:v>
      </x:c>
      <x:c r="E915" s="16" t="n">
        <x:v>2807</x:v>
      </x:c>
      <x:c r="F915" s="18" t="n">
        <x:v>252</x:v>
      </x:c>
      <x:c r="G915" s="20" t="n">
        <x:f>IFERROR(E915/F915,0)</x:f>
        <x:v>11.13888888888889</x:v>
      </x:c>
      <x:c r="H915" t="str">
        <x:f>TEXT(D915,"mmm")</x:f>
        <x:v>May</x:v>
      </x:c>
      <x:c r="I915" s="22" t="n">
        <x:f>MONTH(D915)</x:f>
        <x:v>5</x:v>
      </x:c>
      <x:c r="J915" s="22" t="n">
        <x:f>YEAR(D915)</x:f>
        <x:v>2022</x:v>
      </x:c>
      <x:c r="K915" t="str">
        <x:f>IF(F915&gt;200,"Large Order","Standard Order")</x:f>
        <x:v>Large Order</x:v>
      </x:c>
    </x:row>
    <x:row r="916">
      <x:c r="A916" t="str">
        <x:v>Jan Morforth</x:v>
      </x:c>
      <x:c r="B916" t="str">
        <x:v>India</x:v>
      </x:c>
      <x:c r="C916" t="str">
        <x:v>After Nines</x:v>
      </x:c>
      <x:c r="D916" s="14" t="n">
        <x:v>44634</x:v>
      </x:c>
      <x:c r="E916" s="16" t="n">
        <x:v>6496</x:v>
      </x:c>
      <x:c r="F916" s="18" t="n">
        <x:v>168</x:v>
      </x:c>
      <x:c r="G916" s="20" t="n">
        <x:f>IFERROR(E916/F916,0)</x:f>
        <x:v>38.666666666666664</x:v>
      </x:c>
      <x:c r="H916" t="str">
        <x:f>TEXT(D916,"mmm")</x:f>
        <x:v>Mar</x:v>
      </x:c>
      <x:c r="I916" s="22" t="n">
        <x:f>MONTH(D916)</x:f>
        <x:v>3</x:v>
      </x:c>
      <x:c r="J916" s="22" t="n">
        <x:f>YEAR(D916)</x:f>
        <x:v>2022</x:v>
      </x:c>
      <x:c r="K916" t="str">
        <x:f>IF(F916&gt;200,"Large Order","Standard Order")</x:f>
        <x:v>Standard Order</x:v>
      </x:c>
    </x:row>
    <x:row r="917">
      <x:c r="A917" t="str">
        <x:v>Gunar Cockshoot</x:v>
      </x:c>
      <x:c r="B917" t="str">
        <x:v>USA</x:v>
      </x:c>
      <x:c r="C917" t="str">
        <x:v>After Nines</x:v>
      </x:c>
      <x:c r="D917" s="14" t="n">
        <x:v>44788</x:v>
      </x:c>
      <x:c r="E917" s="16" t="n">
        <x:v>3738</x:v>
      </x:c>
      <x:c r="F917" s="18" t="n">
        <x:v>261</x:v>
      </x:c>
      <x:c r="G917" s="20" t="n">
        <x:f>IFERROR(E917/F917,0)</x:f>
        <x:v>14.32183908045977</x:v>
      </x:c>
      <x:c r="H917" t="str">
        <x:f>TEXT(D917,"mmm")</x:f>
        <x:v>Aug</x:v>
      </x:c>
      <x:c r="I917" s="22" t="n">
        <x:f>MONTH(D917)</x:f>
        <x:v>8</x:v>
      </x:c>
      <x:c r="J917" s="22" t="n">
        <x:f>YEAR(D917)</x:f>
        <x:v>2022</x:v>
      </x:c>
      <x:c r="K917" t="str">
        <x:f>IF(F917&gt;200,"Large Order","Standard Order")</x:f>
        <x:v>Large Order</x:v>
      </x:c>
    </x:row>
    <x:row r="918">
      <x:c r="A918" t="str">
        <x:v>Ches Bonnell</x:v>
      </x:c>
      <x:c r="B918" t="str">
        <x:v>India</x:v>
      </x:c>
      <x:c r="C918" t="str">
        <x:v>Orange Choco</x:v>
      </x:c>
      <x:c r="D918" s="14" t="n">
        <x:v>44608</x:v>
      </x:c>
      <x:c r="E918" s="16" t="n">
        <x:v>1190</x:v>
      </x:c>
      <x:c r="F918" s="18" t="n">
        <x:v>256</x:v>
      </x:c>
      <x:c r="G918" s="20" t="n">
        <x:f>IFERROR(E918/F918,0)</x:f>
        <x:v>4.6484375</x:v>
      </x:c>
      <x:c r="H918" t="str">
        <x:f>TEXT(D918,"mmm")</x:f>
        <x:v>Feb</x:v>
      </x:c>
      <x:c r="I918" s="22" t="n">
        <x:f>MONTH(D918)</x:f>
        <x:v>2</x:v>
      </x:c>
      <x:c r="J918" s="22" t="n">
        <x:f>YEAR(D918)</x:f>
        <x:v>2022</x:v>
      </x:c>
      <x:c r="K918" t="str">
        <x:f>IF(F918&gt;200,"Large Order","Standard Order")</x:f>
        <x:v>Large Order</x:v>
      </x:c>
    </x:row>
    <x:row r="919">
      <x:c r="A919" t="str">
        <x:v>Mallorie Waber</x:v>
      </x:c>
      <x:c r="B919" t="str">
        <x:v>UK</x:v>
      </x:c>
      <x:c r="C919" t="str">
        <x:v>Manuka Honey Choco</x:v>
      </x:c>
      <x:c r="D919" s="14" t="n">
        <x:v>44727</x:v>
      </x:c>
      <x:c r="E919" s="16" t="n">
        <x:v>8379</x:v>
      </x:c>
      <x:c r="F919" s="18" t="n">
        <x:v>43</x:v>
      </x:c>
      <x:c r="G919" s="20" t="n">
        <x:f>IFERROR(E919/F919,0)</x:f>
        <x:v>194.86046511627907</x:v>
      </x:c>
      <x:c r="H919" t="str">
        <x:f>TEXT(D919,"mmm")</x:f>
        <x:v>Jun</x:v>
      </x:c>
      <x:c r="I919" s="22" t="n">
        <x:f>MONTH(D919)</x:f>
        <x:v>6</x:v>
      </x:c>
      <x:c r="J919" s="22" t="n">
        <x:f>YEAR(D919)</x:f>
        <x:v>2022</x:v>
      </x:c>
      <x:c r="K919" t="str">
        <x:f>IF(F919&gt;200,"Large Order","Standard Order")</x:f>
        <x:v>Standard Order</x:v>
      </x:c>
    </x:row>
    <x:row r="920">
      <x:c r="A920" t="str">
        <x:v>Barr Faughny</x:v>
      </x:c>
      <x:c r="B920" t="str">
        <x:v>Australia</x:v>
      </x:c>
      <x:c r="C920" t="str">
        <x:v>Raspberry Choco</x:v>
      </x:c>
      <x:c r="D920" s="14" t="n">
        <x:v>44708</x:v>
      </x:c>
      <x:c r="E920" s="16" t="n">
        <x:v>9268</x:v>
      </x:c>
      <x:c r="F920" s="18" t="n">
        <x:v>100</x:v>
      </x:c>
      <x:c r="G920" s="20" t="n">
        <x:f>IFERROR(E920/F920,0)</x:f>
        <x:v>92.68</x:v>
      </x:c>
      <x:c r="H920" t="str">
        <x:f>TEXT(D920,"mmm")</x:f>
        <x:v>May</x:v>
      </x:c>
      <x:c r="I920" s="22" t="n">
        <x:f>MONTH(D920)</x:f>
        <x:v>5</x:v>
      </x:c>
      <x:c r="J920" s="22" t="n">
        <x:f>YEAR(D920)</x:f>
        <x:v>2022</x:v>
      </x:c>
      <x:c r="K920" t="str">
        <x:f>IF(F920&gt;200,"Large Order","Standard Order")</x:f>
        <x:v>Standard Order</x:v>
      </x:c>
    </x:row>
    <x:row r="921">
      <x:c r="A921" t="str">
        <x:v>Wilone O'Kielt</x:v>
      </x:c>
      <x:c r="B921" t="str">
        <x:v>USA</x:v>
      </x:c>
      <x:c r="C921" t="str">
        <x:v>Drinking Coco</x:v>
      </x:c>
      <x:c r="D921" s="14" t="n">
        <x:v>44726</x:v>
      </x:c>
      <x:c r="E921" s="16" t="n">
        <x:v>1029</x:v>
      </x:c>
      <x:c r="F921" s="18" t="n">
        <x:v>98</x:v>
      </x:c>
      <x:c r="G921" s="20" t="n">
        <x:f>IFERROR(E921/F921,0)</x:f>
        <x:v>10.5</x:v>
      </x:c>
      <x:c r="H921" t="str">
        <x:f>TEXT(D921,"mmm")</x:f>
        <x:v>Jun</x:v>
      </x:c>
      <x:c r="I921" s="22" t="n">
        <x:f>MONTH(D921)</x:f>
        <x:v>6</x:v>
      </x:c>
      <x:c r="J921" s="22" t="n">
        <x:f>YEAR(D921)</x:f>
        <x:v>2022</x:v>
      </x:c>
      <x:c r="K921" t="str">
        <x:f>IF(F921&gt;200,"Large Order","Standard Order")</x:f>
        <x:v>Standard Order</x:v>
      </x:c>
    </x:row>
    <x:row r="922">
      <x:c r="A922" t="str">
        <x:v>Wilone O'Kielt</x:v>
      </x:c>
      <x:c r="B922" t="str">
        <x:v>India</x:v>
      </x:c>
      <x:c r="C922" t="str">
        <x:v>Eclairs</x:v>
      </x:c>
      <x:c r="D922" s="14" t="n">
        <x:v>44617</x:v>
      </x:c>
      <x:c r="E922" s="16" t="n">
        <x:v>3549</x:v>
      </x:c>
      <x:c r="F922" s="18" t="n">
        <x:v>76</x:v>
      </x:c>
      <x:c r="G922" s="20" t="n">
        <x:f>IFERROR(E922/F922,0)</x:f>
        <x:v>46.69736842105263</x:v>
      </x:c>
      <x:c r="H922" t="str">
        <x:f>TEXT(D922,"mmm")</x:f>
        <x:v>Feb</x:v>
      </x:c>
      <x:c r="I922" s="22" t="n">
        <x:f>MONTH(D922)</x:f>
        <x:v>2</x:v>
      </x:c>
      <x:c r="J922" s="22" t="n">
        <x:f>YEAR(D922)</x:f>
        <x:v>2022</x:v>
      </x:c>
      <x:c r="K922" t="str">
        <x:f>IF(F922&gt;200,"Large Order","Standard Order")</x:f>
        <x:v>Standard Order</x:v>
      </x:c>
    </x:row>
    <x:row r="923">
      <x:c r="A923" t="str">
        <x:v>Wilone O'Kielt</x:v>
      </x:c>
      <x:c r="B923" t="str">
        <x:v>India</x:v>
      </x:c>
      <x:c r="C923" t="str">
        <x:v>After Nines</x:v>
      </x:c>
      <x:c r="D923" s="14" t="n">
        <x:v>44777</x:v>
      </x:c>
      <x:c r="E923" s="16" t="n">
        <x:v>12026</x:v>
      </x:c>
      <x:c r="F923" s="18" t="n">
        <x:v>262</x:v>
      </x:c>
      <x:c r="G923" s="20" t="n">
        <x:f>IFERROR(E923/F923,0)</x:f>
        <x:v>45.900763358778626</x:v>
      </x:c>
      <x:c r="H923" t="str">
        <x:f>TEXT(D923,"mmm")</x:f>
        <x:v>Aug</x:v>
      </x:c>
      <x:c r="I923" s="22" t="n">
        <x:f>MONTH(D923)</x:f>
        <x:v>8</x:v>
      </x:c>
      <x:c r="J923" s="22" t="n">
        <x:f>YEAR(D923)</x:f>
        <x:v>2022</x:v>
      </x:c>
      <x:c r="K923" t="str">
        <x:f>IF(F923&gt;200,"Large Order","Standard Order")</x:f>
        <x:v>Large Order</x:v>
      </x:c>
    </x:row>
    <x:row r="924">
      <x:c r="A924" t="str">
        <x:v>Kelci Walkden</x:v>
      </x:c>
      <x:c r="B924" t="str">
        <x:v>India</x:v>
      </x:c>
      <x:c r="C924" t="str">
        <x:v>99% Dark &amp; Pure</x:v>
      </x:c>
      <x:c r="D924" s="14" t="n">
        <x:v>44740</x:v>
      </x:c>
      <x:c r="E924" s="16" t="n">
        <x:v>2303</x:v>
      </x:c>
      <x:c r="F924" s="18" t="n">
        <x:v>244</x:v>
      </x:c>
      <x:c r="G924" s="20" t="n">
        <x:f>IFERROR(E924/F924,0)</x:f>
        <x:v>9.438524590163935</x:v>
      </x:c>
      <x:c r="H924" t="str">
        <x:f>TEXT(D924,"mmm")</x:f>
        <x:v>Jun</x:v>
      </x:c>
      <x:c r="I924" s="22" t="n">
        <x:f>MONTH(D924)</x:f>
        <x:v>6</x:v>
      </x:c>
      <x:c r="J924" s="22" t="n">
        <x:f>YEAR(D924)</x:f>
        <x:v>2022</x:v>
      </x:c>
      <x:c r="K924" t="str">
        <x:f>IF(F924&gt;200,"Large Order","Standard Order")</x:f>
        <x:v>Large Order</x:v>
      </x:c>
    </x:row>
    <x:row r="925">
      <x:c r="A925" t="str">
        <x:v>Gunar Cockshoot</x:v>
      </x:c>
      <x:c r="B925" t="str">
        <x:v>Canada</x:v>
      </x:c>
      <x:c r="C925" t="str">
        <x:v>Spicy Special Slims</x:v>
      </x:c>
      <x:c r="D925" s="14" t="n">
        <x:v>44656</x:v>
      </x:c>
      <x:c r="E925" s="16" t="n">
        <x:v>13405</x:v>
      </x:c>
      <x:c r="F925" s="18" t="n">
        <x:v>12</x:v>
      </x:c>
      <x:c r="G925" s="20" t="n">
        <x:f>IFERROR(E925/F925,0)</x:f>
        <x:v>1117.0833333333333</x:v>
      </x:c>
      <x:c r="H925" t="str">
        <x:f>TEXT(D925,"mmm")</x:f>
        <x:v>Apr</x:v>
      </x:c>
      <x:c r="I925" s="22" t="n">
        <x:f>MONTH(D925)</x:f>
        <x:v>4</x:v>
      </x:c>
      <x:c r="J925" s="22" t="n">
        <x:f>YEAR(D925)</x:f>
        <x:v>2022</x:v>
      </x:c>
      <x:c r="K925" t="str">
        <x:f>IF(F925&gt;200,"Large Order","Standard Order")</x:f>
        <x:v>Standard Order</x:v>
      </x:c>
    </x:row>
    <x:row r="926">
      <x:c r="A926" t="str">
        <x:v>Madelene Upcott</x:v>
      </x:c>
      <x:c r="B926" t="str">
        <x:v>Canada</x:v>
      </x:c>
      <x:c r="C926" t="str">
        <x:v>Peanut Butter Cubes</x:v>
      </x:c>
      <x:c r="D926" s="14" t="n">
        <x:v>44747</x:v>
      </x:c>
      <x:c r="E926" s="16" t="n">
        <x:v>14763</x:v>
      </x:c>
      <x:c r="F926" s="18" t="n">
        <x:v>113</x:v>
      </x:c>
      <x:c r="G926" s="20" t="n">
        <x:f>IFERROR(E926/F926,0)</x:f>
        <x:v>130.64601769911505</x:v>
      </x:c>
      <x:c r="H926" t="str">
        <x:f>TEXT(D926,"mmm")</x:f>
        <x:v>Jul</x:v>
      </x:c>
      <x:c r="I926" s="22" t="n">
        <x:f>MONTH(D926)</x:f>
        <x:v>7</x:v>
      </x:c>
      <x:c r="J926" s="22" t="n">
        <x:f>YEAR(D926)</x:f>
        <x:v>2022</x:v>
      </x:c>
      <x:c r="K926" t="str">
        <x:f>IF(F926&gt;200,"Large Order","Standard Order")</x:f>
        <x:v>Standard Order</x:v>
      </x:c>
    </x:row>
    <x:row r="927">
      <x:c r="A927" t="str">
        <x:v>Kaine Padly</x:v>
      </x:c>
      <x:c r="B927" t="str">
        <x:v>New Zealand</x:v>
      </x:c>
      <x:c r="C927" t="str">
        <x:v>Eclairs</x:v>
      </x:c>
      <x:c r="D927" s="14" t="n">
        <x:v>44581</x:v>
      </x:c>
      <x:c r="E927" s="16" t="n">
        <x:v>12894</x:v>
      </x:c>
      <x:c r="F927" s="18" t="n">
        <x:v>48</x:v>
      </x:c>
      <x:c r="G927" s="20" t="n">
        <x:f>IFERROR(E927/F927,0)</x:f>
        <x:v>268.625</x:v>
      </x:c>
      <x:c r="H927" t="str">
        <x:f>TEXT(D927,"mmm")</x:f>
        <x:v>Jan</x:v>
      </x:c>
      <x:c r="I927" s="22" t="n">
        <x:f>MONTH(D927)</x:f>
        <x:v>1</x:v>
      </x:c>
      <x:c r="J927" s="22" t="n">
        <x:f>YEAR(D927)</x:f>
        <x:v>2022</x:v>
      </x:c>
      <x:c r="K927" t="str">
        <x:f>IF(F927&gt;200,"Large Order","Standard Order")</x:f>
        <x:v>Standard Order</x:v>
      </x:c>
    </x:row>
    <x:row r="928">
      <x:c r="A928" t="str">
        <x:v>Ches Bonnell</x:v>
      </x:c>
      <x:c r="B928" t="str">
        <x:v>New Zealand</x:v>
      </x:c>
      <x:c r="C928" t="str">
        <x:v>Drinking Coco</x:v>
      </x:c>
      <x:c r="D928" s="14" t="n">
        <x:v>44608</x:v>
      </x:c>
      <x:c r="E928" s="16" t="n">
        <x:v>8302</x:v>
      </x:c>
      <x:c r="F928" s="18" t="n">
        <x:v>131</x:v>
      </x:c>
      <x:c r="G928" s="20" t="n">
        <x:f>IFERROR(E928/F928,0)</x:f>
        <x:v>63.37404580152672</x:v>
      </x:c>
      <x:c r="H928" t="str">
        <x:f>TEXT(D928,"mmm")</x:f>
        <x:v>Feb</x:v>
      </x:c>
      <x:c r="I928" s="22" t="n">
        <x:f>MONTH(D928)</x:f>
        <x:v>2</x:v>
      </x:c>
      <x:c r="J928" s="22" t="n">
        <x:f>YEAR(D928)</x:f>
        <x:v>2022</x:v>
      </x:c>
      <x:c r="K928" t="str">
        <x:f>IF(F928&gt;200,"Large Order","Standard Order")</x:f>
        <x:v>Standard Order</x:v>
      </x:c>
    </x:row>
    <x:row r="929">
      <x:c r="A929" t="str">
        <x:v>Curtice Advani</x:v>
      </x:c>
      <x:c r="B929" t="str">
        <x:v>UK</x:v>
      </x:c>
      <x:c r="C929" t="str">
        <x:v>Drinking Coco</x:v>
      </x:c>
      <x:c r="D929" s="14" t="n">
        <x:v>44754</x:v>
      </x:c>
      <x:c r="E929" s="16" t="n">
        <x:v>455</x:v>
      </x:c>
      <x:c r="F929" s="18" t="n">
        <x:v>174</x:v>
      </x:c>
      <x:c r="G929" s="20" t="n">
        <x:f>IFERROR(E929/F929,0)</x:f>
        <x:v>2.6149425287356323</x:v>
      </x:c>
      <x:c r="H929" t="str">
        <x:f>TEXT(D929,"mmm")</x:f>
        <x:v>Jul</x:v>
      </x:c>
      <x:c r="I929" s="22" t="n">
        <x:f>MONTH(D929)</x:f>
        <x:v>7</x:v>
      </x:c>
      <x:c r="J929" s="22" t="n">
        <x:f>YEAR(D929)</x:f>
        <x:v>2022</x:v>
      </x:c>
      <x:c r="K929" t="str">
        <x:f>IF(F929&gt;200,"Large Order","Standard Order")</x:f>
        <x:v>Standard Order</x:v>
      </x:c>
    </x:row>
    <x:row r="930">
      <x:c r="A930" t="str">
        <x:v>Kelci Walkden</x:v>
      </x:c>
      <x:c r="B930" t="str">
        <x:v>India</x:v>
      </x:c>
      <x:c r="C930" t="str">
        <x:v>Raspberry Choco</x:v>
      </x:c>
      <x:c r="D930" s="14" t="n">
        <x:v>44728</x:v>
      </x:c>
      <x:c r="E930" s="16" t="n">
        <x:v>8183</x:v>
      </x:c>
      <x:c r="F930" s="18" t="n">
        <x:v>254</x:v>
      </x:c>
      <x:c r="G930" s="20" t="n">
        <x:f>IFERROR(E930/F930,0)</x:f>
        <x:v>32.21653543307087</x:v>
      </x:c>
      <x:c r="H930" t="str">
        <x:f>TEXT(D930,"mmm")</x:f>
        <x:v>Jun</x:v>
      </x:c>
      <x:c r="I930" s="22" t="n">
        <x:f>MONTH(D930)</x:f>
        <x:v>6</x:v>
      </x:c>
      <x:c r="J930" s="22" t="n">
        <x:f>YEAR(D930)</x:f>
        <x:v>2022</x:v>
      </x:c>
      <x:c r="K930" t="str">
        <x:f>IF(F930&gt;200,"Large Order","Standard Order")</x:f>
        <x:v>Large Order</x:v>
      </x:c>
    </x:row>
    <x:row r="931">
      <x:c r="A931" t="str">
        <x:v>Dotty Strutley</x:v>
      </x:c>
      <x:c r="B931" t="str">
        <x:v>Australia</x:v>
      </x:c>
      <x:c r="C931" t="str">
        <x:v>Choco Coated Almonds</x:v>
      </x:c>
      <x:c r="D931" s="14" t="n">
        <x:v>44664</x:v>
      </x:c>
      <x:c r="E931" s="16" t="n">
        <x:v>1645</x:v>
      </x:c>
      <x:c r="F931" s="18" t="n">
        <x:v>284</x:v>
      </x:c>
      <x:c r="G931" s="20" t="n">
        <x:f>IFERROR(E931/F931,0)</x:f>
        <x:v>5.792253521126761</x:v>
      </x:c>
      <x:c r="H931" t="str">
        <x:f>TEXT(D931,"mmm")</x:f>
        <x:v>Apr</x:v>
      </x:c>
      <x:c r="I931" s="22" t="n">
        <x:f>MONTH(D931)</x:f>
        <x:v>4</x:v>
      </x:c>
      <x:c r="J931" s="22" t="n">
        <x:f>YEAR(D931)</x:f>
        <x:v>2022</x:v>
      </x:c>
      <x:c r="K931" t="str">
        <x:f>IF(F931&gt;200,"Large Order","Standard Order")</x:f>
        <x:v>Large Order</x:v>
      </x:c>
    </x:row>
    <x:row r="932">
      <x:c r="A932" t="str">
        <x:v>Kaine Padly</x:v>
      </x:c>
      <x:c r="B932" t="str">
        <x:v>UK</x:v>
      </x:c>
      <x:c r="C932" t="str">
        <x:v>50% Dark Bites</x:v>
      </x:c>
      <x:c r="D932" s="14" t="n">
        <x:v>44613</x:v>
      </x:c>
      <x:c r="E932" s="16" t="n">
        <x:v>3143</x:v>
      </x:c>
      <x:c r="F932" s="18" t="n">
        <x:v>67</x:v>
      </x:c>
      <x:c r="G932" s="20" t="n">
        <x:f>IFERROR(E932/F932,0)</x:f>
        <x:v>46.91044776119403</x:v>
      </x:c>
      <x:c r="H932" t="str">
        <x:f>TEXT(D932,"mmm")</x:f>
        <x:v>Feb</x:v>
      </x:c>
      <x:c r="I932" s="22" t="n">
        <x:f>MONTH(D932)</x:f>
        <x:v>2</x:v>
      </x:c>
      <x:c r="J932" s="22" t="n">
        <x:f>YEAR(D932)</x:f>
        <x:v>2022</x:v>
      </x:c>
      <x:c r="K932" t="str">
        <x:f>IF(F932&gt;200,"Large Order","Standard Order")</x:f>
        <x:v>Standard Order</x:v>
      </x:c>
    </x:row>
    <x:row r="933">
      <x:c r="A933" t="str">
        <x:v>Roddy Speechley</x:v>
      </x:c>
      <x:c r="B933" t="str">
        <x:v>Canada</x:v>
      </x:c>
      <x:c r="C933" t="str">
        <x:v>Choco Coated Almonds</x:v>
      </x:c>
      <x:c r="D933" s="14" t="n">
        <x:v>44692</x:v>
      </x:c>
      <x:c r="E933" s="16" t="n">
        <x:v>5873</x:v>
      </x:c>
      <x:c r="F933" s="18" t="n">
        <x:v>249</x:v>
      </x:c>
      <x:c r="G933" s="20" t="n">
        <x:f>IFERROR(E933/F933,0)</x:f>
        <x:v>23.586345381526105</x:v>
      </x:c>
      <x:c r="H933" t="str">
        <x:f>TEXT(D933,"mmm")</x:f>
        <x:v>May</x:v>
      </x:c>
      <x:c r="I933" s="22" t="n">
        <x:f>MONTH(D933)</x:f>
        <x:v>5</x:v>
      </x:c>
      <x:c r="J933" s="22" t="n">
        <x:f>YEAR(D933)</x:f>
        <x:v>2022</x:v>
      </x:c>
      <x:c r="K933" t="str">
        <x:f>IF(F933&gt;200,"Large Order","Standard Order")</x:f>
        <x:v>Large Order</x:v>
      </x:c>
    </x:row>
    <x:row r="934">
      <x:c r="A934" t="str">
        <x:v>Ches Bonnell</x:v>
      </x:c>
      <x:c r="B934" t="str">
        <x:v>India</x:v>
      </x:c>
      <x:c r="C934" t="str">
        <x:v>50% Dark Bites</x:v>
      </x:c>
      <x:c r="D934" s="14" t="n">
        <x:v>44666</x:v>
      </x:c>
      <x:c r="E934" s="16" t="n">
        <x:v>11298</x:v>
      </x:c>
      <x:c r="F934" s="18" t="n">
        <x:v>313</x:v>
      </x:c>
      <x:c r="G934" s="20" t="n">
        <x:f>IFERROR(E934/F934,0)</x:f>
        <x:v>36.09584664536741</x:v>
      </x:c>
      <x:c r="H934" t="str">
        <x:f>TEXT(D934,"mmm")</x:f>
        <x:v>Apr</x:v>
      </x:c>
      <x:c r="I934" s="22" t="n">
        <x:f>MONTH(D934)</x:f>
        <x:v>4</x:v>
      </x:c>
      <x:c r="J934" s="22" t="n">
        <x:f>YEAR(D934)</x:f>
        <x:v>2022</x:v>
      </x:c>
      <x:c r="K934" t="str">
        <x:f>IF(F934&gt;200,"Large Order","Standard Order")</x:f>
        <x:v>Large Order</x:v>
      </x:c>
    </x:row>
    <x:row r="935">
      <x:c r="A935" t="str">
        <x:v>Oby Sorrel</x:v>
      </x:c>
      <x:c r="B935" t="str">
        <x:v>Canada</x:v>
      </x:c>
      <x:c r="C935" t="str">
        <x:v>Peanut Butter Cubes</x:v>
      </x:c>
      <x:c r="D935" s="14" t="n">
        <x:v>44719</x:v>
      </x:c>
      <x:c r="E935" s="16" t="n">
        <x:v>12425</x:v>
      </x:c>
      <x:c r="F935" s="18" t="n">
        <x:v>167</x:v>
      </x:c>
      <x:c r="G935" s="20" t="n">
        <x:f>IFERROR(E935/F935,0)</x:f>
        <x:v>74.40119760479043</x:v>
      </x:c>
      <x:c r="H935" t="str">
        <x:f>TEXT(D935,"mmm")</x:f>
        <x:v>Jun</x:v>
      </x:c>
      <x:c r="I935" s="22" t="n">
        <x:f>MONTH(D935)</x:f>
        <x:v>6</x:v>
      </x:c>
      <x:c r="J935" s="22" t="n">
        <x:f>YEAR(D935)</x:f>
        <x:v>2022</x:v>
      </x:c>
      <x:c r="K935" t="str">
        <x:f>IF(F935&gt;200,"Large Order","Standard Order")</x:f>
        <x:v>Standard Order</x:v>
      </x:c>
    </x:row>
    <x:row r="936">
      <x:c r="A936" t="str">
        <x:v>Oby Sorrel</x:v>
      </x:c>
      <x:c r="B936" t="str">
        <x:v>UK</x:v>
      </x:c>
      <x:c r="C936" t="str">
        <x:v>White Choc</x:v>
      </x:c>
      <x:c r="D936" s="14" t="n">
        <x:v>44739</x:v>
      </x:c>
      <x:c r="E936" s="16" t="n">
        <x:v>1715</x:v>
      </x:c>
      <x:c r="F936" s="18" t="n">
        <x:v>286</x:v>
      </x:c>
      <x:c r="G936" s="20" t="n">
        <x:f>IFERROR(E936/F936,0)</x:f>
        <x:v>5.996503496503497</x:v>
      </x:c>
      <x:c r="H936" t="str">
        <x:f>TEXT(D936,"mmm")</x:f>
        <x:v>Jun</x:v>
      </x:c>
      <x:c r="I936" s="22" t="n">
        <x:f>MONTH(D936)</x:f>
        <x:v>6</x:v>
      </x:c>
      <x:c r="J936" s="22" t="n">
        <x:f>YEAR(D936)</x:f>
        <x:v>2022</x:v>
      </x:c>
      <x:c r="K936" t="str">
        <x:f>IF(F936&gt;200,"Large Order","Standard Order")</x:f>
        <x:v>Large Order</x:v>
      </x:c>
    </x:row>
    <x:row r="937">
      <x:c r="A937" t="str">
        <x:v>Barr Faughny</x:v>
      </x:c>
      <x:c r="B937" t="str">
        <x:v>India</x:v>
      </x:c>
      <x:c r="C937" t="str">
        <x:v>After Nines</x:v>
      </x:c>
      <x:c r="D937" s="14" t="n">
        <x:v>44771</x:v>
      </x:c>
      <x:c r="E937" s="16" t="n">
        <x:v>8190</x:v>
      </x:c>
      <x:c r="F937" s="18" t="n">
        <x:v>109</x:v>
      </x:c>
      <x:c r="G937" s="20" t="n">
        <x:f>IFERROR(E937/F937,0)</x:f>
        <x:v>75.13761467889908</x:v>
      </x:c>
      <x:c r="H937" t="str">
        <x:f>TEXT(D937,"mmm")</x:f>
        <x:v>Jul</x:v>
      </x:c>
      <x:c r="I937" s="22" t="n">
        <x:f>MONTH(D937)</x:f>
        <x:v>7</x:v>
      </x:c>
      <x:c r="J937" s="22" t="n">
        <x:f>YEAR(D937)</x:f>
        <x:v>2022</x:v>
      </x:c>
      <x:c r="K937" t="str">
        <x:f>IF(F937&gt;200,"Large Order","Standard Order")</x:f>
        <x:v>Standard Order</x:v>
      </x:c>
    </x:row>
    <x:row r="938">
      <x:c r="A938" t="str">
        <x:v>Wilone O'Kielt</x:v>
      </x:c>
      <x:c r="B938" t="str">
        <x:v>Canada</x:v>
      </x:c>
      <x:c r="C938" t="str">
        <x:v>Smooth Silky Salty</x:v>
      </x:c>
      <x:c r="D938" s="14" t="n">
        <x:v>44714</x:v>
      </x:c>
      <x:c r="E938" s="16" t="n">
        <x:v>4991</x:v>
      </x:c>
      <x:c r="F938" s="18" t="n">
        <x:v>166</x:v>
      </x:c>
      <x:c r="G938" s="20" t="n">
        <x:f>IFERROR(E938/F938,0)</x:f>
        <x:v>30.066265060240966</x:v>
      </x:c>
      <x:c r="H938" t="str">
        <x:f>TEXT(D938,"mmm")</x:f>
        <x:v>Jun</x:v>
      </x:c>
      <x:c r="I938" s="22" t="n">
        <x:f>MONTH(D938)</x:f>
        <x:v>6</x:v>
      </x:c>
      <x:c r="J938" s="22" t="n">
        <x:f>YEAR(D938)</x:f>
        <x:v>2022</x:v>
      </x:c>
      <x:c r="K938" t="str">
        <x:f>IF(F938&gt;200,"Large Order","Standard Order")</x:f>
        <x:v>Standard Order</x:v>
      </x:c>
    </x:row>
    <x:row r="939">
      <x:c r="A939" t="str">
        <x:v>Rafaelita Blaksland</x:v>
      </x:c>
      <x:c r="B939" t="str">
        <x:v>India</x:v>
      </x:c>
      <x:c r="C939" t="str">
        <x:v>Mint Chip Choco</x:v>
      </x:c>
      <x:c r="D939" s="14" t="n">
        <x:v>44587</x:v>
      </x:c>
      <x:c r="E939" s="16" t="n">
        <x:v>15491</x:v>
      </x:c>
      <x:c r="F939" s="18" t="n">
        <x:v>85</x:v>
      </x:c>
      <x:c r="G939" s="20" t="n">
        <x:f>IFERROR(E939/F939,0)</x:f>
        <x:v>182.24705882352941</x:v>
      </x:c>
      <x:c r="H939" t="str">
        <x:f>TEXT(D939,"mmm")</x:f>
        <x:v>Jan</x:v>
      </x:c>
      <x:c r="I939" s="22" t="n">
        <x:f>MONTH(D939)</x:f>
        <x:v>1</x:v>
      </x:c>
      <x:c r="J939" s="22" t="n">
        <x:f>YEAR(D939)</x:f>
        <x:v>2022</x:v>
      </x:c>
      <x:c r="K939" t="str">
        <x:f>IF(F939&gt;200,"Large Order","Standard Order")</x:f>
        <x:v>Standard Order</x:v>
      </x:c>
    </x:row>
    <x:row r="940">
      <x:c r="A940" t="str">
        <x:v>Rafaelita Blaksland</x:v>
      </x:c>
      <x:c r="B940" t="str">
        <x:v>Canada</x:v>
      </x:c>
      <x:c r="C940" t="str">
        <x:v>99% Dark &amp; Pure</x:v>
      </x:c>
      <x:c r="D940" s="14" t="n">
        <x:v>44622</x:v>
      </x:c>
      <x:c r="E940" s="16" t="n">
        <x:v>5096</x:v>
      </x:c>
      <x:c r="F940" s="18" t="n">
        <x:v>142</x:v>
      </x:c>
      <x:c r="G940" s="20" t="n">
        <x:f>IFERROR(E940/F940,0)</x:f>
        <x:v>35.88732394366197</x:v>
      </x:c>
      <x:c r="H940" t="str">
        <x:f>TEXT(D940,"mmm")</x:f>
        <x:v>Mar</x:v>
      </x:c>
      <x:c r="I940" s="22" t="n">
        <x:f>MONTH(D940)</x:f>
        <x:v>3</x:v>
      </x:c>
      <x:c r="J940" s="22" t="n">
        <x:f>YEAR(D940)</x:f>
        <x:v>2022</x:v>
      </x:c>
      <x:c r="K940" t="str">
        <x:f>IF(F940&gt;200,"Large Order","Standard Order")</x:f>
        <x:v>Standard Order</x:v>
      </x:c>
    </x:row>
    <x:row r="941">
      <x:c r="A941" t="str">
        <x:v>Van Tuxwell</x:v>
      </x:c>
      <x:c r="B941" t="str">
        <x:v>Australia</x:v>
      </x:c>
      <x:c r="C941" t="str">
        <x:v>70% Dark Bites</x:v>
      </x:c>
      <x:c r="D941" s="14" t="n">
        <x:v>44571</x:v>
      </x:c>
      <x:c r="E941" s="16" t="n">
        <x:v>7063</x:v>
      </x:c>
      <x:c r="F941" s="18" t="n">
        <x:v>104</x:v>
      </x:c>
      <x:c r="G941" s="20" t="n">
        <x:f>IFERROR(E941/F941,0)</x:f>
        <x:v>67.91346153846153</x:v>
      </x:c>
      <x:c r="H941" t="str">
        <x:f>TEXT(D941,"mmm")</x:f>
        <x:v>Jan</x:v>
      </x:c>
      <x:c r="I941" s="22" t="n">
        <x:f>MONTH(D941)</x:f>
        <x:v>1</x:v>
      </x:c>
      <x:c r="J941" s="22" t="n">
        <x:f>YEAR(D941)</x:f>
        <x:v>2022</x:v>
      </x:c>
      <x:c r="K941" t="str">
        <x:f>IF(F941&gt;200,"Large Order","Standard Order")</x:f>
        <x:v>Standard Order</x:v>
      </x:c>
    </x:row>
    <x:row r="942">
      <x:c r="A942" t="str">
        <x:v>Beverie Moffet</x:v>
      </x:c>
      <x:c r="B942" t="str">
        <x:v>USA</x:v>
      </x:c>
      <x:c r="C942" t="str">
        <x:v>70% Dark Bites</x:v>
      </x:c>
      <x:c r="D942" s="14" t="n">
        <x:v>44739</x:v>
      </x:c>
      <x:c r="E942" s="16" t="n">
        <x:v>2275</x:v>
      </x:c>
      <x:c r="F942" s="18" t="n">
        <x:v>115</x:v>
      </x:c>
      <x:c r="G942" s="20" t="n">
        <x:f>IFERROR(E942/F942,0)</x:f>
        <x:v>19.782608695652176</x:v>
      </x:c>
      <x:c r="H942" t="str">
        <x:f>TEXT(D942,"mmm")</x:f>
        <x:v>Jun</x:v>
      </x:c>
      <x:c r="I942" s="22" t="n">
        <x:f>MONTH(D942)</x:f>
        <x:v>6</x:v>
      </x:c>
      <x:c r="J942" s="22" t="n">
        <x:f>YEAR(D942)</x:f>
        <x:v>2022</x:v>
      </x:c>
      <x:c r="K942" t="str">
        <x:f>IF(F942&gt;200,"Large Order","Standard Order")</x:f>
        <x:v>Standard Order</x:v>
      </x:c>
    </x:row>
    <x:row r="943">
      <x:c r="A943" t="str">
        <x:v>Barr Faughny</x:v>
      </x:c>
      <x:c r="B943" t="str">
        <x:v>Canada</x:v>
      </x:c>
      <x:c r="C943" t="str">
        <x:v>Orange Choco</x:v>
      </x:c>
      <x:c r="D943" s="14" t="n">
        <x:v>44742</x:v>
      </x:c>
      <x:c r="E943" s="16" t="n">
        <x:v>7602</x:v>
      </x:c>
      <x:c r="F943" s="18" t="n">
        <x:v>18</x:v>
      </x:c>
      <x:c r="G943" s="20" t="n">
        <x:f>IFERROR(E943/F943,0)</x:f>
        <x:v>422.3333333333333</x:v>
      </x:c>
      <x:c r="H943" t="str">
        <x:f>TEXT(D943,"mmm")</x:f>
        <x:v>Jun</x:v>
      </x:c>
      <x:c r="I943" s="22" t="n">
        <x:f>MONTH(D943)</x:f>
        <x:v>6</x:v>
      </x:c>
      <x:c r="J943" s="22" t="n">
        <x:f>YEAR(D943)</x:f>
        <x:v>2022</x:v>
      </x:c>
      <x:c r="K943" t="str">
        <x:f>IF(F943&gt;200,"Large Order","Standard Order")</x:f>
        <x:v>Standard Order</x:v>
      </x:c>
    </x:row>
    <x:row r="944">
      <x:c r="A944" t="str">
        <x:v>Roddy Speechley</x:v>
      </x:c>
      <x:c r="B944" t="str">
        <x:v>Australia</x:v>
      </x:c>
      <x:c r="C944" t="str">
        <x:v>85% Dark Bars</x:v>
      </x:c>
      <x:c r="D944" s="14" t="n">
        <x:v>44750</x:v>
      </x:c>
      <x:c r="E944" s="16" t="n">
        <x:v>4200</x:v>
      </x:c>
      <x:c r="F944" s="18" t="n">
        <x:v>80</x:v>
      </x:c>
      <x:c r="G944" s="20" t="n">
        <x:f>IFERROR(E944/F944,0)</x:f>
        <x:v>52.5</x:v>
      </x:c>
      <x:c r="H944" t="str">
        <x:f>TEXT(D944,"mmm")</x:f>
        <x:v>Jul</x:v>
      </x:c>
      <x:c r="I944" s="22" t="n">
        <x:f>MONTH(D944)</x:f>
        <x:v>7</x:v>
      </x:c>
      <x:c r="J944" s="22" t="n">
        <x:f>YEAR(D944)</x:f>
        <x:v>2022</x:v>
      </x:c>
      <x:c r="K944" t="str">
        <x:f>IF(F944&gt;200,"Large Order","Standard Order")</x:f>
        <x:v>Standard Order</x:v>
      </x:c>
    </x:row>
    <x:row r="945">
      <x:c r="A945" t="str">
        <x:v>Oby Sorrel</x:v>
      </x:c>
      <x:c r="B945" t="str">
        <x:v>India</x:v>
      </x:c>
      <x:c r="C945" t="str">
        <x:v>Spicy Special Slims</x:v>
      </x:c>
      <x:c r="D945" s="14" t="n">
        <x:v>44720</x:v>
      </x:c>
      <x:c r="E945" s="16" t="n">
        <x:v>11137</x:v>
      </x:c>
      <x:c r="F945" s="18" t="n">
        <x:v>88</x:v>
      </x:c>
      <x:c r="G945" s="20" t="n">
        <x:f>IFERROR(E945/F945,0)</x:f>
        <x:v>126.55681818181819</x:v>
      </x:c>
      <x:c r="H945" t="str">
        <x:f>TEXT(D945,"mmm")</x:f>
        <x:v>Jun</x:v>
      </x:c>
      <x:c r="I945" s="22" t="n">
        <x:f>MONTH(D945)</x:f>
        <x:v>6</x:v>
      </x:c>
      <x:c r="J945" s="22" t="n">
        <x:f>YEAR(D945)</x:f>
        <x:v>2022</x:v>
      </x:c>
      <x:c r="K945" t="str">
        <x:f>IF(F945&gt;200,"Large Order","Standard Order")</x:f>
        <x:v>Standard Order</x:v>
      </x:c>
    </x:row>
    <x:row r="946">
      <x:c r="A946" t="str">
        <x:v>Jan Morforth</x:v>
      </x:c>
      <x:c r="B946" t="str">
        <x:v>UK</x:v>
      </x:c>
      <x:c r="C946" t="str">
        <x:v>Manuka Honey Choco</x:v>
      </x:c>
      <x:c r="D946" s="14" t="n">
        <x:v>44791</x:v>
      </x:c>
      <x:c r="E946" s="16" t="n">
        <x:v>3388</x:v>
      </x:c>
      <x:c r="F946" s="18" t="n">
        <x:v>212</x:v>
      </x:c>
      <x:c r="G946" s="20" t="n">
        <x:f>IFERROR(E946/F946,0)</x:f>
        <x:v>15.981132075471699</x:v>
      </x:c>
      <x:c r="H946" t="str">
        <x:f>TEXT(D946,"mmm")</x:f>
        <x:v>Aug</x:v>
      </x:c>
      <x:c r="I946" s="22" t="n">
        <x:f>MONTH(D946)</x:f>
        <x:v>8</x:v>
      </x:c>
      <x:c r="J946" s="22" t="n">
        <x:f>YEAR(D946)</x:f>
        <x:v>2022</x:v>
      </x:c>
      <x:c r="K946" t="str">
        <x:f>IF(F946&gt;200,"Large Order","Standard Order")</x:f>
        <x:v>Large Order</x:v>
      </x:c>
    </x:row>
    <x:row r="947">
      <x:c r="A947" t="str">
        <x:v>Kaine Padly</x:v>
      </x:c>
      <x:c r="B947" t="str">
        <x:v>Australia</x:v>
      </x:c>
      <x:c r="C947" t="str">
        <x:v>After Nines</x:v>
      </x:c>
      <x:c r="D947" s="14" t="n">
        <x:v>44659</x:v>
      </x:c>
      <x:c r="E947" s="16" t="n">
        <x:v>6832</x:v>
      </x:c>
      <x:c r="F947" s="18" t="n">
        <x:v>306</x:v>
      </x:c>
      <x:c r="G947" s="20" t="n">
        <x:f>IFERROR(E947/F947,0)</x:f>
        <x:v>22.326797385620914</x:v>
      </x:c>
      <x:c r="H947" t="str">
        <x:f>TEXT(D947,"mmm")</x:f>
        <x:v>Apr</x:v>
      </x:c>
      <x:c r="I947" s="22" t="n">
        <x:f>MONTH(D947)</x:f>
        <x:v>4</x:v>
      </x:c>
      <x:c r="J947" s="22" t="n">
        <x:f>YEAR(D947)</x:f>
        <x:v>2022</x:v>
      </x:c>
      <x:c r="K947" t="str">
        <x:f>IF(F947&gt;200,"Large Order","Standard Order")</x:f>
        <x:v>Large Order</x:v>
      </x:c>
    </x:row>
    <x:row r="948">
      <x:c r="A948" t="str">
        <x:v>Wilone O'Kielt</x:v>
      </x:c>
      <x:c r="B948" t="str">
        <x:v>Canada</x:v>
      </x:c>
      <x:c r="C948" t="str">
        <x:v>Fruit &amp; Nut Bars</x:v>
      </x:c>
      <x:c r="D948" s="14" t="n">
        <x:v>44781</x:v>
      </x:c>
      <x:c r="E948" s="16" t="n">
        <x:v>3437</x:v>
      </x:c>
      <x:c r="F948" s="18" t="n">
        <x:v>181</x:v>
      </x:c>
      <x:c r="G948" s="20" t="n">
        <x:f>IFERROR(E948/F948,0)</x:f>
        <x:v>18.988950276243095</x:v>
      </x:c>
      <x:c r="H948" t="str">
        <x:f>TEXT(D948,"mmm")</x:f>
        <x:v>Aug</x:v>
      </x:c>
      <x:c r="I948" s="22" t="n">
        <x:f>MONTH(D948)</x:f>
        <x:v>8</x:v>
      </x:c>
      <x:c r="J948" s="22" t="n">
        <x:f>YEAR(D948)</x:f>
        <x:v>2022</x:v>
      </x:c>
      <x:c r="K948" t="str">
        <x:f>IF(F948&gt;200,"Large Order","Standard Order")</x:f>
        <x:v>Standard Order</x:v>
      </x:c>
    </x:row>
    <x:row r="949">
      <x:c r="A949" t="str">
        <x:v>Wilone O'Kielt</x:v>
      </x:c>
      <x:c r="B949" t="str">
        <x:v>UK</x:v>
      </x:c>
      <x:c r="C949" t="str">
        <x:v>Milk Bars</x:v>
      </x:c>
      <x:c r="D949" s="14" t="n">
        <x:v>44799</x:v>
      </x:c>
      <x:c r="E949" s="16" t="n">
        <x:v>301</x:v>
      </x:c>
      <x:c r="F949" s="18" t="n">
        <x:v>65</x:v>
      </x:c>
      <x:c r="G949" s="20" t="n">
        <x:f>IFERROR(E949/F949,0)</x:f>
        <x:v>4.630769230769231</x:v>
      </x:c>
      <x:c r="H949" t="str">
        <x:f>TEXT(D949,"mmm")</x:f>
        <x:v>Aug</x:v>
      </x:c>
      <x:c r="I949" s="22" t="n">
        <x:f>MONTH(D949)</x:f>
        <x:v>8</x:v>
      </x:c>
      <x:c r="J949" s="22" t="n">
        <x:f>YEAR(D949)</x:f>
        <x:v>2022</x:v>
      </x:c>
      <x:c r="K949" t="str">
        <x:f>IF(F949&gt;200,"Large Order","Standard Order")</x:f>
        <x:v>Standard Order</x:v>
      </x:c>
    </x:row>
    <x:row r="950">
      <x:c r="A950" t="str">
        <x:v>Oby Sorrel</x:v>
      </x:c>
      <x:c r="B950" t="str">
        <x:v>Canada</x:v>
      </x:c>
      <x:c r="C950" t="str">
        <x:v>Fruit &amp; Nut Bars</x:v>
      </x:c>
      <x:c r="D950" s="14" t="n">
        <x:v>44575</x:v>
      </x:c>
      <x:c r="E950" s="16" t="n">
        <x:v>1869</x:v>
      </x:c>
      <x:c r="F950" s="18" t="n">
        <x:v>158</x:v>
      </x:c>
      <x:c r="G950" s="20" t="n">
        <x:f>IFERROR(E950/F950,0)</x:f>
        <x:v>11.829113924050633</x:v>
      </x:c>
      <x:c r="H950" t="str">
        <x:f>TEXT(D950,"mmm")</x:f>
        <x:v>Jan</x:v>
      </x:c>
      <x:c r="I950" s="22" t="n">
        <x:f>MONTH(D950)</x:f>
        <x:v>1</x:v>
      </x:c>
      <x:c r="J950" s="22" t="n">
        <x:f>YEAR(D950)</x:f>
        <x:v>2022</x:v>
      </x:c>
      <x:c r="K950" t="str">
        <x:f>IF(F950&gt;200,"Large Order","Standard Order")</x:f>
        <x:v>Standard Order</x:v>
      </x:c>
    </x:row>
    <x:row r="951">
      <x:c r="A951" t="str">
        <x:v>Dennison Crosswaite</x:v>
      </x:c>
      <x:c r="B951" t="str">
        <x:v>USA</x:v>
      </x:c>
      <x:c r="C951" t="str">
        <x:v>Baker's Choco Chips</x:v>
      </x:c>
      <x:c r="D951" s="14" t="n">
        <x:v>44784</x:v>
      </x:c>
      <x:c r="E951" s="16" t="n">
        <x:v>17465</x:v>
      </x:c>
      <x:c r="F951" s="18" t="n">
        <x:v>271</x:v>
      </x:c>
      <x:c r="G951" s="20" t="n">
        <x:f>IFERROR(E951/F951,0)</x:f>
        <x:v>64.44649446494465</x:v>
      </x:c>
      <x:c r="H951" t="str">
        <x:f>TEXT(D951,"mmm")</x:f>
        <x:v>Aug</x:v>
      </x:c>
      <x:c r="I951" s="22" t="n">
        <x:f>MONTH(D951)</x:f>
        <x:v>8</x:v>
      </x:c>
      <x:c r="J951" s="22" t="n">
        <x:f>YEAR(D951)</x:f>
        <x:v>2022</x:v>
      </x:c>
      <x:c r="K951" t="str">
        <x:f>IF(F951&gt;200,"Large Order","Standard Order")</x:f>
        <x:v>Large Order</x:v>
      </x:c>
    </x:row>
    <x:row r="952">
      <x:c r="A952" t="str">
        <x:v>Madelene Upcott</x:v>
      </x:c>
      <x:c r="B952" t="str">
        <x:v>USA</x:v>
      </x:c>
      <x:c r="C952" t="str">
        <x:v>Almond Choco</x:v>
      </x:c>
      <x:c r="D952" s="14" t="n">
        <x:v>44712</x:v>
      </x:c>
      <x:c r="E952" s="16" t="n">
        <x:v>10143</x:v>
      </x:c>
      <x:c r="F952" s="18" t="n">
        <x:v>24</x:v>
      </x:c>
      <x:c r="G952" s="20" t="n">
        <x:f>IFERROR(E952/F952,0)</x:f>
        <x:v>422.625</x:v>
      </x:c>
      <x:c r="H952" t="str">
        <x:f>TEXT(D952,"mmm")</x:f>
        <x:v>May</x:v>
      </x:c>
      <x:c r="I952" s="22" t="n">
        <x:f>MONTH(D952)</x:f>
        <x:v>5</x:v>
      </x:c>
      <x:c r="J952" s="22" t="n">
        <x:f>YEAR(D952)</x:f>
        <x:v>2022</x:v>
      </x:c>
      <x:c r="K952" t="str">
        <x:f>IF(F952&gt;200,"Large Order","Standard Order")</x:f>
        <x:v>Standard Order</x:v>
      </x:c>
    </x:row>
    <x:row r="953">
      <x:c r="A953" t="str">
        <x:v>Van Tuxwell</x:v>
      </x:c>
      <x:c r="B953" t="str">
        <x:v>New Zealand</x:v>
      </x:c>
      <x:c r="C953" t="str">
        <x:v>50% Dark Bites</x:v>
      </x:c>
      <x:c r="D953" s="14" t="n">
        <x:v>44753</x:v>
      </x:c>
      <x:c r="E953" s="16" t="n">
        <x:v>3626</x:v>
      </x:c>
      <x:c r="F953" s="18" t="n">
        <x:v>10</x:v>
      </x:c>
      <x:c r="G953" s="20" t="n">
        <x:f>IFERROR(E953/F953,0)</x:f>
        <x:v>362.6</x:v>
      </x:c>
      <x:c r="H953" t="str">
        <x:f>TEXT(D953,"mmm")</x:f>
        <x:v>Jul</x:v>
      </x:c>
      <x:c r="I953" s="22" t="n">
        <x:f>MONTH(D953)</x:f>
        <x:v>7</x:v>
      </x:c>
      <x:c r="J953" s="22" t="n">
        <x:f>YEAR(D953)</x:f>
        <x:v>2022</x:v>
      </x:c>
      <x:c r="K953" t="str">
        <x:f>IF(F953&gt;200,"Large Order","Standard Order")</x:f>
        <x:v>Standard Order</x:v>
      </x:c>
    </x:row>
    <x:row r="954">
      <x:c r="A954" t="str">
        <x:v>Karlen McCaffrey</x:v>
      </x:c>
      <x:c r="B954" t="str">
        <x:v>Canada</x:v>
      </x:c>
      <x:c r="C954" t="str">
        <x:v>Caramel Stuffed Bars</x:v>
      </x:c>
      <x:c r="D954" s="14" t="n">
        <x:v>44622</x:v>
      </x:c>
      <x:c r="E954" s="16" t="n">
        <x:v>3346</x:v>
      </x:c>
      <x:c r="F954" s="18" t="n">
        <x:v>304</x:v>
      </x:c>
      <x:c r="G954" s="20" t="n">
        <x:f>IFERROR(E954/F954,0)</x:f>
        <x:v>11.006578947368421</x:v>
      </x:c>
      <x:c r="H954" t="str">
        <x:f>TEXT(D954,"mmm")</x:f>
        <x:v>Mar</x:v>
      </x:c>
      <x:c r="I954" s="22" t="n">
        <x:f>MONTH(D954)</x:f>
        <x:v>3</x:v>
      </x:c>
      <x:c r="J954" s="22" t="n">
        <x:f>YEAR(D954)</x:f>
        <x:v>2022</x:v>
      </x:c>
      <x:c r="K954" t="str">
        <x:f>IF(F954&gt;200,"Large Order","Standard Order")</x:f>
        <x:v>Large Order</x:v>
      </x:c>
    </x:row>
    <x:row r="955">
      <x:c r="A955" t="str">
        <x:v>Madelene Upcott</x:v>
      </x:c>
      <x:c r="B955" t="str">
        <x:v>Australia</x:v>
      </x:c>
      <x:c r="C955" t="str">
        <x:v>Raspberry Choco</x:v>
      </x:c>
      <x:c r="D955" s="14" t="n">
        <x:v>44755</x:v>
      </x:c>
      <x:c r="E955" s="16" t="n">
        <x:v>6321</x:v>
      </x:c>
      <x:c r="F955" s="18" t="n">
        <x:v>88</x:v>
      </x:c>
      <x:c r="G955" s="20" t="n">
        <x:f>IFERROR(E955/F955,0)</x:f>
        <x:v>71.82954545454545</x:v>
      </x:c>
      <x:c r="H955" t="str">
        <x:f>TEXT(D955,"mmm")</x:f>
        <x:v>Jul</x:v>
      </x:c>
      <x:c r="I955" s="22" t="n">
        <x:f>MONTH(D955)</x:f>
        <x:v>7</x:v>
      </x:c>
      <x:c r="J955" s="22" t="n">
        <x:f>YEAR(D955)</x:f>
        <x:v>2022</x:v>
      </x:c>
      <x:c r="K955" t="str">
        <x:f>IF(F955&gt;200,"Large Order","Standard Order")</x:f>
        <x:v>Standard Order</x:v>
      </x:c>
    </x:row>
    <x:row r="956">
      <x:c r="A956" t="str">
        <x:v>Rafaelita Blaksland</x:v>
      </x:c>
      <x:c r="B956" t="str">
        <x:v>UK</x:v>
      </x:c>
      <x:c r="C956" t="str">
        <x:v>Spicy Special Slims</x:v>
      </x:c>
      <x:c r="D956" s="14" t="n">
        <x:v>44776</x:v>
      </x:c>
      <x:c r="E956" s="16" t="n">
        <x:v>9345</x:v>
      </x:c>
      <x:c r="F956" s="18" t="n">
        <x:v>133</x:v>
      </x:c>
      <x:c r="G956" s="20" t="n">
        <x:f>IFERROR(E956/F956,0)</x:f>
        <x:v>70.26315789473684</x:v>
      </x:c>
      <x:c r="H956" t="str">
        <x:f>TEXT(D956,"mmm")</x:f>
        <x:v>Aug</x:v>
      </x:c>
      <x:c r="I956" s="22" t="n">
        <x:f>MONTH(D956)</x:f>
        <x:v>8</x:v>
      </x:c>
      <x:c r="J956" s="22" t="n">
        <x:f>YEAR(D956)</x:f>
        <x:v>2022</x:v>
      </x:c>
      <x:c r="K956" t="str">
        <x:f>IF(F956&gt;200,"Large Order","Standard Order")</x:f>
        <x:v>Standard Order</x:v>
      </x:c>
    </x:row>
    <x:row r="957">
      <x:c r="A957" t="str">
        <x:v>Curtice Advani</x:v>
      </x:c>
      <x:c r="B957" t="str">
        <x:v>UK</x:v>
      </x:c>
      <x:c r="C957" t="str">
        <x:v>Peanut Butter Cubes</x:v>
      </x:c>
      <x:c r="D957" s="14" t="n">
        <x:v>44621</x:v>
      </x:c>
      <x:c r="E957" s="16" t="n">
        <x:v>15008</x:v>
      </x:c>
      <x:c r="F957" s="18" t="n">
        <x:v>165</x:v>
      </x:c>
      <x:c r="G957" s="20" t="n">
        <x:f>IFERROR(E957/F957,0)</x:f>
        <x:v>90.95757575757575</x:v>
      </x:c>
      <x:c r="H957" t="str">
        <x:f>TEXT(D957,"mmm")</x:f>
        <x:v>Mar</x:v>
      </x:c>
      <x:c r="I957" s="22" t="n">
        <x:f>MONTH(D957)</x:f>
        <x:v>3</x:v>
      </x:c>
      <x:c r="J957" s="22" t="n">
        <x:f>YEAR(D957)</x:f>
        <x:v>2022</x:v>
      </x:c>
      <x:c r="K957" t="str">
        <x:f>IF(F957&gt;200,"Large Order","Standard Order")</x:f>
        <x:v>Standard Order</x:v>
      </x:c>
    </x:row>
    <x:row r="958">
      <x:c r="A958" t="str">
        <x:v>Kelci Walkden</x:v>
      </x:c>
      <x:c r="B958" t="str">
        <x:v>New Zealand</x:v>
      </x:c>
      <x:c r="C958" t="str">
        <x:v>White Choc</x:v>
      </x:c>
      <x:c r="D958" s="14" t="n">
        <x:v>44664</x:v>
      </x:c>
      <x:c r="E958" s="16" t="n">
        <x:v>7609</x:v>
      </x:c>
      <x:c r="F958" s="18" t="n">
        <x:v>150</x:v>
      </x:c>
      <x:c r="G958" s="20" t="n">
        <x:f>IFERROR(E958/F958,0)</x:f>
        <x:v>50.72666666666667</x:v>
      </x:c>
      <x:c r="H958" t="str">
        <x:f>TEXT(D958,"mmm")</x:f>
        <x:v>Apr</x:v>
      </x:c>
      <x:c r="I958" s="22" t="n">
        <x:f>MONTH(D958)</x:f>
        <x:v>4</x:v>
      </x:c>
      <x:c r="J958" s="22" t="n">
        <x:f>YEAR(D958)</x:f>
        <x:v>2022</x:v>
      </x:c>
      <x:c r="K958" t="str">
        <x:f>IF(F958&gt;200,"Large Order","Standard Order")</x:f>
        <x:v>Standard Order</x:v>
      </x:c>
    </x:row>
    <x:row r="959">
      <x:c r="A959" t="str">
        <x:v>Beverie Moffet</x:v>
      </x:c>
      <x:c r="B959" t="str">
        <x:v>Canada</x:v>
      </x:c>
      <x:c r="C959" t="str">
        <x:v>Fruit &amp; Nut Bars</x:v>
      </x:c>
      <x:c r="D959" s="14" t="n">
        <x:v>44606</x:v>
      </x:c>
      <x:c r="E959" s="16" t="n">
        <x:v>10332</x:v>
      </x:c>
      <x:c r="F959" s="18" t="n">
        <x:v>180</x:v>
      </x:c>
      <x:c r="G959" s="20" t="n">
        <x:f>IFERROR(E959/F959,0)</x:f>
        <x:v>57.4</x:v>
      </x:c>
      <x:c r="H959" t="str">
        <x:f>TEXT(D959,"mmm")</x:f>
        <x:v>Feb</x:v>
      </x:c>
      <x:c r="I959" s="22" t="n">
        <x:f>MONTH(D959)</x:f>
        <x:v>2</x:v>
      </x:c>
      <x:c r="J959" s="22" t="n">
        <x:f>YEAR(D959)</x:f>
        <x:v>2022</x:v>
      </x:c>
      <x:c r="K959" t="str">
        <x:f>IF(F959&gt;200,"Large Order","Standard Order")</x:f>
        <x:v>Standard Order</x:v>
      </x:c>
    </x:row>
    <x:row r="960">
      <x:c r="A960" t="str">
        <x:v>Mallorie Waber</x:v>
      </x:c>
      <x:c r="B960" t="str">
        <x:v>India</x:v>
      </x:c>
      <x:c r="C960" t="str">
        <x:v>White Choc</x:v>
      </x:c>
      <x:c r="D960" s="14" t="n">
        <x:v>44768</x:v>
      </x:c>
      <x:c r="E960" s="16" t="n">
        <x:v>819</x:v>
      </x:c>
      <x:c r="F960" s="18" t="n">
        <x:v>213</x:v>
      </x:c>
      <x:c r="G960" s="20" t="n">
        <x:f>IFERROR(E960/F960,0)</x:f>
        <x:v>3.8450704225352115</x:v>
      </x:c>
      <x:c r="H960" t="str">
        <x:f>TEXT(D960,"mmm")</x:f>
        <x:v>Jul</x:v>
      </x:c>
      <x:c r="I960" s="22" t="n">
        <x:f>MONTH(D960)</x:f>
        <x:v>7</x:v>
      </x:c>
      <x:c r="J960" s="22" t="n">
        <x:f>YEAR(D960)</x:f>
        <x:v>2022</x:v>
      </x:c>
      <x:c r="K960" t="str">
        <x:f>IF(F960&gt;200,"Large Order","Standard Order")</x:f>
        <x:v>Large Order</x:v>
      </x:c>
    </x:row>
    <x:row r="961">
      <x:c r="A961" t="str">
        <x:v>Brien Boise</x:v>
      </x:c>
      <x:c r="B961" t="str">
        <x:v>UK</x:v>
      </x:c>
      <x:c r="C961" t="str">
        <x:v>Drinking Coco</x:v>
      </x:c>
      <x:c r="D961" s="14" t="n">
        <x:v>44588</x:v>
      </x:c>
      <x:c r="E961" s="16" t="n">
        <x:v>5754</x:v>
      </x:c>
      <x:c r="F961" s="18" t="n">
        <x:v>133</x:v>
      </x:c>
      <x:c r="G961" s="20" t="n">
        <x:f>IFERROR(E961/F961,0)</x:f>
        <x:v>43.26315789473684</x:v>
      </x:c>
      <x:c r="H961" t="str">
        <x:f>TEXT(D961,"mmm")</x:f>
        <x:v>Jan</x:v>
      </x:c>
      <x:c r="I961" s="22" t="n">
        <x:f>MONTH(D961)</x:f>
        <x:v>1</x:v>
      </x:c>
      <x:c r="J961" s="22" t="n">
        <x:f>YEAR(D961)</x:f>
        <x:v>2022</x:v>
      </x:c>
      <x:c r="K961" t="str">
        <x:f>IF(F961&gt;200,"Large Order","Standard Order")</x:f>
        <x:v>Standard Order</x:v>
      </x:c>
    </x:row>
    <x:row r="962">
      <x:c r="A962" t="str">
        <x:v>Jehu Rudeforth</x:v>
      </x:c>
      <x:c r="B962" t="str">
        <x:v>India</x:v>
      </x:c>
      <x:c r="C962" t="str">
        <x:v>Peanut Butter Cubes</x:v>
      </x:c>
      <x:c r="D962" s="14" t="n">
        <x:v>44665</x:v>
      </x:c>
      <x:c r="E962" s="16" t="n">
        <x:v>28</x:v>
      </x:c>
      <x:c r="F962" s="18" t="n">
        <x:v>446</x:v>
      </x:c>
      <x:c r="G962" s="20" t="n">
        <x:f>IFERROR(E962/F962,0)</x:f>
        <x:v>0.06278026905829596</x:v>
      </x:c>
      <x:c r="H962" t="str">
        <x:f>TEXT(D962,"mmm")</x:f>
        <x:v>Apr</x:v>
      </x:c>
      <x:c r="I962" s="22" t="n">
        <x:f>MONTH(D962)</x:f>
        <x:v>4</x:v>
      </x:c>
      <x:c r="J962" s="22" t="n">
        <x:f>YEAR(D962)</x:f>
        <x:v>2022</x:v>
      </x:c>
      <x:c r="K962" t="str">
        <x:f>IF(F962&gt;200,"Large Order","Standard Order")</x:f>
        <x:v>Large Order</x:v>
      </x:c>
    </x:row>
    <x:row r="963">
      <x:c r="A963" t="str">
        <x:v>Oby Sorrel</x:v>
      </x:c>
      <x:c r="B963" t="str">
        <x:v>USA</x:v>
      </x:c>
      <x:c r="C963" t="str">
        <x:v>Almond Choco</x:v>
      </x:c>
      <x:c r="D963" s="14" t="n">
        <x:v>44700</x:v>
      </x:c>
      <x:c r="E963" s="16" t="n">
        <x:v>6440</x:v>
      </x:c>
      <x:c r="F963" s="18" t="n">
        <x:v>141</x:v>
      </x:c>
      <x:c r="G963" s="20" t="n">
        <x:f>IFERROR(E963/F963,0)</x:f>
        <x:v>45.673758865248224</x:v>
      </x:c>
      <x:c r="H963" t="str">
        <x:f>TEXT(D963,"mmm")</x:f>
        <x:v>May</x:v>
      </x:c>
      <x:c r="I963" s="22" t="n">
        <x:f>MONTH(D963)</x:f>
        <x:v>5</x:v>
      </x:c>
      <x:c r="J963" s="22" t="n">
        <x:f>YEAR(D963)</x:f>
        <x:v>2022</x:v>
      </x:c>
      <x:c r="K963" t="str">
        <x:f>IF(F963&gt;200,"Large Order","Standard Order")</x:f>
        <x:v>Standard Order</x:v>
      </x:c>
    </x:row>
    <x:row r="964">
      <x:c r="A964" t="str">
        <x:v>Husein Augar</x:v>
      </x:c>
      <x:c r="B964" t="str">
        <x:v>India</x:v>
      </x:c>
      <x:c r="C964" t="str">
        <x:v>Eclairs</x:v>
      </x:c>
      <x:c r="D964" s="14" t="n">
        <x:v>44601</x:v>
      </x:c>
      <x:c r="E964" s="16" t="n">
        <x:v>4956</x:v>
      </x:c>
      <x:c r="F964" s="18" t="n">
        <x:v>58</x:v>
      </x:c>
      <x:c r="G964" s="20" t="n">
        <x:f>IFERROR(E964/F964,0)</x:f>
        <x:v>85.44827586206897</x:v>
      </x:c>
      <x:c r="H964" t="str">
        <x:f>TEXT(D964,"mmm")</x:f>
        <x:v>Feb</x:v>
      </x:c>
      <x:c r="I964" s="22" t="n">
        <x:f>MONTH(D964)</x:f>
        <x:v>2</x:v>
      </x:c>
      <x:c r="J964" s="22" t="n">
        <x:f>YEAR(D964)</x:f>
        <x:v>2022</x:v>
      </x:c>
      <x:c r="K964" t="str">
        <x:f>IF(F964&gt;200,"Large Order","Standard Order")</x:f>
        <x:v>Standard Order</x:v>
      </x:c>
    </x:row>
    <x:row r="965">
      <x:c r="A965" t="str">
        <x:v>Brien Boise</x:v>
      </x:c>
      <x:c r="B965" t="str">
        <x:v>UK</x:v>
      </x:c>
      <x:c r="C965" t="str">
        <x:v>Spicy Special Slims</x:v>
      </x:c>
      <x:c r="D965" s="14" t="n">
        <x:v>44706</x:v>
      </x:c>
      <x:c r="E965" s="16" t="n">
        <x:v>2352</x:v>
      </x:c>
      <x:c r="F965" s="18" t="n">
        <x:v>58</x:v>
      </x:c>
      <x:c r="G965" s="20" t="n">
        <x:f>IFERROR(E965/F965,0)</x:f>
        <x:v>40.55172413793103</x:v>
      </x:c>
      <x:c r="H965" t="str">
        <x:f>TEXT(D965,"mmm")</x:f>
        <x:v>May</x:v>
      </x:c>
      <x:c r="I965" s="22" t="n">
        <x:f>MONTH(D965)</x:f>
        <x:v>5</x:v>
      </x:c>
      <x:c r="J965" s="22" t="n">
        <x:f>YEAR(D965)</x:f>
        <x:v>2022</x:v>
      </x:c>
      <x:c r="K965" t="str">
        <x:f>IF(F965&gt;200,"Large Order","Standard Order")</x:f>
        <x:v>Standard Order</x:v>
      </x:c>
    </x:row>
    <x:row r="966">
      <x:c r="A966" t="str">
        <x:v>Oby Sorrel</x:v>
      </x:c>
      <x:c r="B966" t="str">
        <x:v>Australia</x:v>
      </x:c>
      <x:c r="C966" t="str">
        <x:v>Manuka Honey Choco</x:v>
      </x:c>
      <x:c r="D966" s="14" t="n">
        <x:v>44587</x:v>
      </x:c>
      <x:c r="E966" s="16" t="n">
        <x:v>3906</x:v>
      </x:c>
      <x:c r="F966" s="18" t="n">
        <x:v>76</x:v>
      </x:c>
      <x:c r="G966" s="20" t="n">
        <x:f>IFERROR(E966/F966,0)</x:f>
        <x:v>51.39473684210526</x:v>
      </x:c>
      <x:c r="H966" t="str">
        <x:f>TEXT(D966,"mmm")</x:f>
        <x:v>Jan</x:v>
      </x:c>
      <x:c r="I966" s="22" t="n">
        <x:f>MONTH(D966)</x:f>
        <x:v>1</x:v>
      </x:c>
      <x:c r="J966" s="22" t="n">
        <x:f>YEAR(D966)</x:f>
        <x:v>2022</x:v>
      </x:c>
      <x:c r="K966" t="str">
        <x:f>IF(F966&gt;200,"Large Order","Standard Order")</x:f>
        <x:v>Standard Order</x:v>
      </x:c>
    </x:row>
    <x:row r="967">
      <x:c r="A967" t="str">
        <x:v>Beverie Moffet</x:v>
      </x:c>
      <x:c r="B967" t="str">
        <x:v>India</x:v>
      </x:c>
      <x:c r="C967" t="str">
        <x:v>White Choc</x:v>
      </x:c>
      <x:c r="D967" s="14" t="n">
        <x:v>44746</x:v>
      </x:c>
      <x:c r="E967" s="16" t="n">
        <x:v>1813</x:v>
      </x:c>
      <x:c r="F967" s="18" t="n">
        <x:v>296</x:v>
      </x:c>
      <x:c r="G967" s="20" t="n">
        <x:f>IFERROR(E967/F967,0)</x:f>
        <x:v>6.125</x:v>
      </x:c>
      <x:c r="H967" t="str">
        <x:f>TEXT(D967,"mmm")</x:f>
        <x:v>Jul</x:v>
      </x:c>
      <x:c r="I967" s="22" t="n">
        <x:f>MONTH(D967)</x:f>
        <x:v>7</x:v>
      </x:c>
      <x:c r="J967" s="22" t="n">
        <x:f>YEAR(D967)</x:f>
        <x:v>2022</x:v>
      </x:c>
      <x:c r="K967" t="str">
        <x:f>IF(F967&gt;200,"Large Order","Standard Order")</x:f>
        <x:v>Large Order</x:v>
      </x:c>
    </x:row>
    <x:row r="968">
      <x:c r="A968" t="str">
        <x:v>Ches Bonnell</x:v>
      </x:c>
      <x:c r="B968" t="str">
        <x:v>India</x:v>
      </x:c>
      <x:c r="C968" t="str">
        <x:v>Almond Choco</x:v>
      </x:c>
      <x:c r="D968" s="14" t="n">
        <x:v>44664</x:v>
      </x:c>
      <x:c r="E968" s="16" t="n">
        <x:v>11788</x:v>
      </x:c>
      <x:c r="F968" s="18" t="n">
        <x:v>73</x:v>
      </x:c>
      <x:c r="G968" s="20" t="n">
        <x:f>IFERROR(E968/F968,0)</x:f>
        <x:v>161.4794520547945</x:v>
      </x:c>
      <x:c r="H968" t="str">
        <x:f>TEXT(D968,"mmm")</x:f>
        <x:v>Apr</x:v>
      </x:c>
      <x:c r="I968" s="22" t="n">
        <x:f>MONTH(D968)</x:f>
        <x:v>4</x:v>
      </x:c>
      <x:c r="J968" s="22" t="n">
        <x:f>YEAR(D968)</x:f>
        <x:v>2022</x:v>
      </x:c>
      <x:c r="K968" t="str">
        <x:f>IF(F968&gt;200,"Large Order","Standard Order")</x:f>
        <x:v>Standard Order</x:v>
      </x:c>
    </x:row>
    <x:row r="969">
      <x:c r="A969" t="str">
        <x:v>Gigi Bohling</x:v>
      </x:c>
      <x:c r="B969" t="str">
        <x:v>Australia</x:v>
      </x:c>
      <x:c r="C969" t="str">
        <x:v>Smooth Silky Salty</x:v>
      </x:c>
      <x:c r="D969" s="14" t="n">
        <x:v>44586</x:v>
      </x:c>
      <x:c r="E969" s="16" t="n">
        <x:v>5768</x:v>
      </x:c>
      <x:c r="F969" s="18" t="n">
        <x:v>119</x:v>
      </x:c>
      <x:c r="G969" s="20" t="n">
        <x:f>IFERROR(E969/F969,0)</x:f>
        <x:v>48.470588235294116</x:v>
      </x:c>
      <x:c r="H969" t="str">
        <x:f>TEXT(D969,"mmm")</x:f>
        <x:v>Jan</x:v>
      </x:c>
      <x:c r="I969" s="22" t="n">
        <x:f>MONTH(D969)</x:f>
        <x:v>1</x:v>
      </x:c>
      <x:c r="J969" s="22" t="n">
        <x:f>YEAR(D969)</x:f>
        <x:v>2022</x:v>
      </x:c>
      <x:c r="K969" t="str">
        <x:f>IF(F969&gt;200,"Large Order","Standard Order")</x:f>
        <x:v>Standard Order</x:v>
      </x:c>
    </x:row>
    <x:row r="970">
      <x:c r="A970" t="str">
        <x:v>Camilla Castle</x:v>
      </x:c>
      <x:c r="B970" t="str">
        <x:v>USA</x:v>
      </x:c>
      <x:c r="C970" t="str">
        <x:v>85% Dark Bars</x:v>
      </x:c>
      <x:c r="D970" s="14" t="n">
        <x:v>44676</x:v>
      </x:c>
      <x:c r="E970" s="16" t="n">
        <x:v>2401</x:v>
      </x:c>
      <x:c r="F970" s="18" t="n">
        <x:v>78</x:v>
      </x:c>
      <x:c r="G970" s="20" t="n">
        <x:f>IFERROR(E970/F970,0)</x:f>
        <x:v>30.78205128205128</x:v>
      </x:c>
      <x:c r="H970" t="str">
        <x:f>TEXT(D970,"mmm")</x:f>
        <x:v>Apr</x:v>
      </x:c>
      <x:c r="I970" s="22" t="n">
        <x:f>MONTH(D970)</x:f>
        <x:v>4</x:v>
      </x:c>
      <x:c r="J970" s="22" t="n">
        <x:f>YEAR(D970)</x:f>
        <x:v>2022</x:v>
      </x:c>
      <x:c r="K970" t="str">
        <x:f>IF(F970&gt;200,"Large Order","Standard Order")</x:f>
        <x:v>Standard Order</x:v>
      </x:c>
    </x:row>
    <x:row r="971">
      <x:c r="A971" t="str">
        <x:v>Camilla Castle</x:v>
      </x:c>
      <x:c r="B971" t="str">
        <x:v>USA</x:v>
      </x:c>
      <x:c r="C971" t="str">
        <x:v>Eclairs</x:v>
      </x:c>
      <x:c r="D971" s="14" t="n">
        <x:v>44722</x:v>
      </x:c>
      <x:c r="E971" s="16" t="n">
        <x:v>4515</x:v>
      </x:c>
      <x:c r="F971" s="18" t="n">
        <x:v>392</x:v>
      </x:c>
      <x:c r="G971" s="20" t="n">
        <x:f>IFERROR(E971/F971,0)</x:f>
        <x:v>11.517857142857142</x:v>
      </x:c>
      <x:c r="H971" t="str">
        <x:f>TEXT(D971,"mmm")</x:f>
        <x:v>Jun</x:v>
      </x:c>
      <x:c r="I971" s="22" t="n">
        <x:f>MONTH(D971)</x:f>
        <x:v>6</x:v>
      </x:c>
      <x:c r="J971" s="22" t="n">
        <x:f>YEAR(D971)</x:f>
        <x:v>2022</x:v>
      </x:c>
      <x:c r="K971" t="str">
        <x:f>IF(F971&gt;200,"Large Order","Standard Order")</x:f>
        <x:v>Large Order</x:v>
      </x:c>
    </x:row>
    <x:row r="972">
      <x:c r="A972" t="str">
        <x:v>Madelene Upcott</x:v>
      </x:c>
      <x:c r="B972" t="str">
        <x:v>New Zealand</x:v>
      </x:c>
      <x:c r="C972" t="str">
        <x:v>White Choc</x:v>
      </x:c>
      <x:c r="D972" s="14" t="n">
        <x:v>44795</x:v>
      </x:c>
      <x:c r="E972" s="16" t="n">
        <x:v>10794</x:v>
      </x:c>
      <x:c r="F972" s="18" t="n">
        <x:v>51</x:v>
      </x:c>
      <x:c r="G972" s="20" t="n">
        <x:f>IFERROR(E972/F972,0)</x:f>
        <x:v>211.64705882352942</x:v>
      </x:c>
      <x:c r="H972" t="str">
        <x:f>TEXT(D972,"mmm")</x:f>
        <x:v>Aug</x:v>
      </x:c>
      <x:c r="I972" s="22" t="n">
        <x:f>MONTH(D972)</x:f>
        <x:v>8</x:v>
      </x:c>
      <x:c r="J972" s="22" t="n">
        <x:f>YEAR(D972)</x:f>
        <x:v>2022</x:v>
      </x:c>
      <x:c r="K972" t="str">
        <x:f>IF(F972&gt;200,"Large Order","Standard Order")</x:f>
        <x:v>Standard Order</x:v>
      </x:c>
    </x:row>
    <x:row r="973">
      <x:c r="A973" t="str">
        <x:v>Van Tuxwell</x:v>
      </x:c>
      <x:c r="B973" t="str">
        <x:v>India</x:v>
      </x:c>
      <x:c r="C973" t="str">
        <x:v>After Nines</x:v>
      </x:c>
      <x:c r="D973" s="14" t="n">
        <x:v>44739</x:v>
      </x:c>
      <x:c r="E973" s="16" t="n">
        <x:v>13706</x:v>
      </x:c>
      <x:c r="F973" s="18" t="n">
        <x:v>207</x:v>
      </x:c>
      <x:c r="G973" s="20" t="n">
        <x:f>IFERROR(E973/F973,0)</x:f>
        <x:v>66.21256038647343</x:v>
      </x:c>
      <x:c r="H973" t="str">
        <x:f>TEXT(D973,"mmm")</x:f>
        <x:v>Jun</x:v>
      </x:c>
      <x:c r="I973" s="22" t="n">
        <x:f>MONTH(D973)</x:f>
        <x:v>6</x:v>
      </x:c>
      <x:c r="J973" s="22" t="n">
        <x:f>YEAR(D973)</x:f>
        <x:v>2022</x:v>
      </x:c>
      <x:c r="K973" t="str">
        <x:f>IF(F973&gt;200,"Large Order","Standard Order")</x:f>
        <x:v>Large Order</x:v>
      </x:c>
    </x:row>
    <x:row r="974">
      <x:c r="A974" t="str">
        <x:v>Husein Augar</x:v>
      </x:c>
      <x:c r="B974" t="str">
        <x:v>India</x:v>
      </x:c>
      <x:c r="C974" t="str">
        <x:v>Orange Choco</x:v>
      </x:c>
      <x:c r="D974" s="14" t="n">
        <x:v>44742</x:v>
      </x:c>
      <x:c r="E974" s="16" t="n">
        <x:v>4361</x:v>
      </x:c>
      <x:c r="F974" s="18" t="n">
        <x:v>40</x:v>
      </x:c>
      <x:c r="G974" s="20" t="n">
        <x:f>IFERROR(E974/F974,0)</x:f>
        <x:v>109.025</x:v>
      </x:c>
      <x:c r="H974" t="str">
        <x:f>TEXT(D974,"mmm")</x:f>
        <x:v>Jun</x:v>
      </x:c>
      <x:c r="I974" s="22" t="n">
        <x:f>MONTH(D974)</x:f>
        <x:v>6</x:v>
      </x:c>
      <x:c r="J974" s="22" t="n">
        <x:f>YEAR(D974)</x:f>
        <x:v>2022</x:v>
      </x:c>
      <x:c r="K974" t="str">
        <x:f>IF(F974&gt;200,"Large Order","Standard Order")</x:f>
        <x:v>Standard Order</x:v>
      </x:c>
    </x:row>
    <x:row r="975">
      <x:c r="A975" t="str">
        <x:v>Jehu Rudeforth</x:v>
      </x:c>
      <x:c r="B975" t="str">
        <x:v>India</x:v>
      </x:c>
      <x:c r="C975" t="str">
        <x:v>Almond Choco</x:v>
      </x:c>
      <x:c r="D975" s="14" t="n">
        <x:v>44803</x:v>
      </x:c>
      <x:c r="E975" s="16" t="n">
        <x:v>10122</x:v>
      </x:c>
      <x:c r="F975" s="18" t="n">
        <x:v>100</x:v>
      </x:c>
      <x:c r="G975" s="20" t="n">
        <x:f>IFERROR(E975/F975,0)</x:f>
        <x:v>101.22</x:v>
      </x:c>
      <x:c r="H975" t="str">
        <x:f>TEXT(D975,"mmm")</x:f>
        <x:v>Aug</x:v>
      </x:c>
      <x:c r="I975" s="22" t="n">
        <x:f>MONTH(D975)</x:f>
        <x:v>8</x:v>
      </x:c>
      <x:c r="J975" s="22" t="n">
        <x:f>YEAR(D975)</x:f>
        <x:v>2022</x:v>
      </x:c>
      <x:c r="K975" t="str">
        <x:f>IF(F975&gt;200,"Large Order","Standard Order")</x:f>
        <x:v>Standard Order</x:v>
      </x:c>
    </x:row>
    <x:row r="976">
      <x:c r="A976" t="str">
        <x:v>Karlen McCaffrey</x:v>
      </x:c>
      <x:c r="B976" t="str">
        <x:v>Australia</x:v>
      </x:c>
      <x:c r="C976" t="str">
        <x:v>Raspberry Choco</x:v>
      </x:c>
      <x:c r="D976" s="14" t="n">
        <x:v>44796</x:v>
      </x:c>
      <x:c r="E976" s="16" t="n">
        <x:v>994</x:v>
      </x:c>
      <x:c r="F976" s="18" t="n">
        <x:v>57</x:v>
      </x:c>
      <x:c r="G976" s="20" t="n">
        <x:f>IFERROR(E976/F976,0)</x:f>
        <x:v>17.43859649122807</x:v>
      </x:c>
      <x:c r="H976" t="str">
        <x:f>TEXT(D976,"mmm")</x:f>
        <x:v>Aug</x:v>
      </x:c>
      <x:c r="I976" s="22" t="n">
        <x:f>MONTH(D976)</x:f>
        <x:v>8</x:v>
      </x:c>
      <x:c r="J976" s="22" t="n">
        <x:f>YEAR(D976)</x:f>
        <x:v>2022</x:v>
      </x:c>
      <x:c r="K976" t="str">
        <x:f>IF(F976&gt;200,"Large Order","Standard Order")</x:f>
        <x:v>Standard Order</x:v>
      </x:c>
    </x:row>
    <x:row r="977">
      <x:c r="A977" t="str">
        <x:v>Camilla Castle</x:v>
      </x:c>
      <x:c r="B977" t="str">
        <x:v>New Zealand</x:v>
      </x:c>
      <x:c r="C977" t="str">
        <x:v>99% Dark &amp; Pure</x:v>
      </x:c>
      <x:c r="D977" s="14" t="n">
        <x:v>44799</x:v>
      </x:c>
      <x:c r="E977" s="16" t="n">
        <x:v>2268</x:v>
      </x:c>
      <x:c r="F977" s="18" t="n">
        <x:v>42</x:v>
      </x:c>
      <x:c r="G977" s="20" t="n">
        <x:f>IFERROR(E977/F977,0)</x:f>
        <x:v>54</x:v>
      </x:c>
      <x:c r="H977" t="str">
        <x:f>TEXT(D977,"mmm")</x:f>
        <x:v>Aug</x:v>
      </x:c>
      <x:c r="I977" s="22" t="n">
        <x:f>MONTH(D977)</x:f>
        <x:v>8</x:v>
      </x:c>
      <x:c r="J977" s="22" t="n">
        <x:f>YEAR(D977)</x:f>
        <x:v>2022</x:v>
      </x:c>
      <x:c r="K977" t="str">
        <x:f>IF(F977&gt;200,"Large Order","Standard Order")</x:f>
        <x:v>Standard Order</x:v>
      </x:c>
    </x:row>
    <x:row r="978">
      <x:c r="A978" t="str">
        <x:v>Gigi Bohling</x:v>
      </x:c>
      <x:c r="B978" t="str">
        <x:v>Australia</x:v>
      </x:c>
      <x:c r="C978" t="str">
        <x:v>Orange Choco</x:v>
      </x:c>
      <x:c r="D978" s="14" t="n">
        <x:v>44629</x:v>
      </x:c>
      <x:c r="E978" s="16" t="n">
        <x:v>574</x:v>
      </x:c>
      <x:c r="F978" s="18" t="n">
        <x:v>156</x:v>
      </x:c>
      <x:c r="G978" s="20" t="n">
        <x:f>IFERROR(E978/F978,0)</x:f>
        <x:v>3.6794871794871793</x:v>
      </x:c>
      <x:c r="H978" t="str">
        <x:f>TEXT(D978,"mmm")</x:f>
        <x:v>Mar</x:v>
      </x:c>
      <x:c r="I978" s="22" t="n">
        <x:f>MONTH(D978)</x:f>
        <x:v>3</x:v>
      </x:c>
      <x:c r="J978" s="22" t="n">
        <x:f>YEAR(D978)</x:f>
        <x:v>2022</x:v>
      </x:c>
      <x:c r="K978" t="str">
        <x:f>IF(F978&gt;200,"Large Order","Standard Order")</x:f>
        <x:v>Standard Order</x:v>
      </x:c>
    </x:row>
    <x:row r="979">
      <x:c r="A979" t="str">
        <x:v>Kelci Walkden</x:v>
      </x:c>
      <x:c r="B979" t="str">
        <x:v>UK</x:v>
      </x:c>
      <x:c r="C979" t="str">
        <x:v>Drinking Coco</x:v>
      </x:c>
      <x:c r="D979" s="14" t="n">
        <x:v>44671</x:v>
      </x:c>
      <x:c r="E979" s="16" t="n">
        <x:v>1792</x:v>
      </x:c>
      <x:c r="F979" s="18" t="n">
        <x:v>23</x:v>
      </x:c>
      <x:c r="G979" s="20" t="n">
        <x:f>IFERROR(E979/F979,0)</x:f>
        <x:v>77.91304347826087</x:v>
      </x:c>
      <x:c r="H979" t="str">
        <x:f>TEXT(D979,"mmm")</x:f>
        <x:v>Apr</x:v>
      </x:c>
      <x:c r="I979" s="22" t="n">
        <x:f>MONTH(D979)</x:f>
        <x:v>4</x:v>
      </x:c>
      <x:c r="J979" s="22" t="n">
        <x:f>YEAR(D979)</x:f>
        <x:v>2022</x:v>
      </x:c>
      <x:c r="K979" t="str">
        <x:f>IF(F979&gt;200,"Large Order","Standard Order")</x:f>
        <x:v>Standard Order</x:v>
      </x:c>
    </x:row>
    <x:row r="980">
      <x:c r="A980" t="str">
        <x:v>Mallorie Waber</x:v>
      </x:c>
      <x:c r="B980" t="str">
        <x:v>Canada</x:v>
      </x:c>
      <x:c r="C980" t="str">
        <x:v>Caramel Stuffed Bars</x:v>
      </x:c>
      <x:c r="D980" s="14" t="n">
        <x:v>44722</x:v>
      </x:c>
      <x:c r="E980" s="16" t="n">
        <x:v>4844</x:v>
      </x:c>
      <x:c r="F980" s="18" t="n">
        <x:v>539</x:v>
      </x:c>
      <x:c r="G980" s="20" t="n">
        <x:f>IFERROR(E980/F980,0)</x:f>
        <x:v>8.987012987012987</x:v>
      </x:c>
      <x:c r="H980" t="str">
        <x:f>TEXT(D980,"mmm")</x:f>
        <x:v>Jun</x:v>
      </x:c>
      <x:c r="I980" s="22" t="n">
        <x:f>MONTH(D980)</x:f>
        <x:v>6</x:v>
      </x:c>
      <x:c r="J980" s="22" t="n">
        <x:f>YEAR(D980)</x:f>
        <x:v>2022</x:v>
      </x:c>
      <x:c r="K980" t="str">
        <x:f>IF(F980&gt;200,"Large Order","Standard Order")</x:f>
        <x:v>Large Order</x:v>
      </x:c>
    </x:row>
    <x:row r="981">
      <x:c r="A981" t="str">
        <x:v>Husein Augar</x:v>
      </x:c>
      <x:c r="B981" t="str">
        <x:v>Australia</x:v>
      </x:c>
      <x:c r="C981" t="str">
        <x:v>Organic Choco Syrup</x:v>
      </x:c>
      <x:c r="D981" s="14" t="n">
        <x:v>44600</x:v>
      </x:c>
      <x:c r="E981" s="16" t="n">
        <x:v>938</x:v>
      </x:c>
      <x:c r="F981" s="18" t="n">
        <x:v>158</x:v>
      </x:c>
      <x:c r="G981" s="20" t="n">
        <x:f>IFERROR(E981/F981,0)</x:f>
        <x:v>5.936708860759493</x:v>
      </x:c>
      <x:c r="H981" t="str">
        <x:f>TEXT(D981,"mmm")</x:f>
        <x:v>Feb</x:v>
      </x:c>
      <x:c r="I981" s="22" t="n">
        <x:f>MONTH(D981)</x:f>
        <x:v>2</x:v>
      </x:c>
      <x:c r="J981" s="22" t="n">
        <x:f>YEAR(D981)</x:f>
        <x:v>2022</x:v>
      </x:c>
      <x:c r="K981" t="str">
        <x:f>IF(F981&gt;200,"Large Order","Standard Order")</x:f>
        <x:v>Standard Order</x:v>
      </x:c>
    </x:row>
    <x:row r="982">
      <x:c r="A982" t="str">
        <x:v>Brien Boise</x:v>
      </x:c>
      <x:c r="B982" t="str">
        <x:v>Australia</x:v>
      </x:c>
      <x:c r="C982" t="str">
        <x:v>White Choc</x:v>
      </x:c>
      <x:c r="D982" s="14" t="n">
        <x:v>44798</x:v>
      </x:c>
      <x:c r="E982" s="16" t="n">
        <x:v>4879</x:v>
      </x:c>
      <x:c r="F982" s="18" t="n">
        <x:v>22</x:v>
      </x:c>
      <x:c r="G982" s="20" t="n">
        <x:f>IFERROR(E982/F982,0)</x:f>
        <x:v>221.77272727272728</x:v>
      </x:c>
      <x:c r="H982" t="str">
        <x:f>TEXT(D982,"mmm")</x:f>
        <x:v>Aug</x:v>
      </x:c>
      <x:c r="I982" s="22" t="n">
        <x:f>MONTH(D982)</x:f>
        <x:v>8</x:v>
      </x:c>
      <x:c r="J982" s="22" t="n">
        <x:f>YEAR(D982)</x:f>
        <x:v>2022</x:v>
      </x:c>
      <x:c r="K982" t="str">
        <x:f>IF(F982&gt;200,"Large Order","Standard Order")</x:f>
        <x:v>Standard Order</x:v>
      </x:c>
    </x:row>
    <x:row r="983">
      <x:c r="A983" t="str">
        <x:v>Dotty Strutley</x:v>
      </x:c>
      <x:c r="B983" t="str">
        <x:v>India</x:v>
      </x:c>
      <x:c r="C983" t="str">
        <x:v>Peanut Butter Cubes</x:v>
      </x:c>
      <x:c r="D983" s="14" t="n">
        <x:v>44608</x:v>
      </x:c>
      <x:c r="E983" s="16" t="n">
        <x:v>9107</x:v>
      </x:c>
      <x:c r="F983" s="18" t="n">
        <x:v>73</x:v>
      </x:c>
      <x:c r="G983" s="20" t="n">
        <x:f>IFERROR(E983/F983,0)</x:f>
        <x:v>124.75342465753425</x:v>
      </x:c>
      <x:c r="H983" t="str">
        <x:f>TEXT(D983,"mmm")</x:f>
        <x:v>Feb</x:v>
      </x:c>
      <x:c r="I983" s="22" t="n">
        <x:f>MONTH(D983)</x:f>
        <x:v>2</x:v>
      </x:c>
      <x:c r="J983" s="22" t="n">
        <x:f>YEAR(D983)</x:f>
        <x:v>2022</x:v>
      </x:c>
      <x:c r="K983" t="str">
        <x:f>IF(F983&gt;200,"Large Order","Standard Order")</x:f>
        <x:v>Standard Order</x:v>
      </x:c>
    </x:row>
    <x:row r="984">
      <x:c r="A984" t="str">
        <x:v>Dennison Crosswaite</x:v>
      </x:c>
      <x:c r="B984" t="str">
        <x:v>UK</x:v>
      </x:c>
      <x:c r="C984" t="str">
        <x:v>99% Dark &amp; Pure</x:v>
      </x:c>
      <x:c r="D984" s="14" t="n">
        <x:v>44711</x:v>
      </x:c>
      <x:c r="E984" s="16" t="n">
        <x:v>12187</x:v>
      </x:c>
      <x:c r="F984" s="18" t="n">
        <x:v>27</x:v>
      </x:c>
      <x:c r="G984" s="20" t="n">
        <x:f>IFERROR(E984/F984,0)</x:f>
        <x:v>451.3703703703704</x:v>
      </x:c>
      <x:c r="H984" t="str">
        <x:f>TEXT(D984,"mmm")</x:f>
        <x:v>May</x:v>
      </x:c>
      <x:c r="I984" s="22" t="n">
        <x:f>MONTH(D984)</x:f>
        <x:v>5</x:v>
      </x:c>
      <x:c r="J984" s="22" t="n">
        <x:f>YEAR(D984)</x:f>
        <x:v>2022</x:v>
      </x:c>
      <x:c r="K984" t="str">
        <x:f>IF(F984&gt;200,"Large Order","Standard Order")</x:f>
        <x:v>Standard Order</x:v>
      </x:c>
    </x:row>
    <x:row r="985">
      <x:c r="A985" t="str">
        <x:v>Gigi Bohling</x:v>
      </x:c>
      <x:c r="B985" t="str">
        <x:v>New Zealand</x:v>
      </x:c>
      <x:c r="C985" t="str">
        <x:v>50% Dark Bites</x:v>
      </x:c>
      <x:c r="D985" s="14" t="n">
        <x:v>44741</x:v>
      </x:c>
      <x:c r="E985" s="16" t="n">
        <x:v>5670</x:v>
      </x:c>
      <x:c r="F985" s="18" t="n">
        <x:v>64</x:v>
      </x:c>
      <x:c r="G985" s="20" t="n">
        <x:f>IFERROR(E985/F985,0)</x:f>
        <x:v>88.59375</x:v>
      </x:c>
      <x:c r="H985" t="str">
        <x:f>TEXT(D985,"mmm")</x:f>
        <x:v>Jun</x:v>
      </x:c>
      <x:c r="I985" s="22" t="n">
        <x:f>MONTH(D985)</x:f>
        <x:v>6</x:v>
      </x:c>
      <x:c r="J985" s="22" t="n">
        <x:f>YEAR(D985)</x:f>
        <x:v>2022</x:v>
      </x:c>
      <x:c r="K985" t="str">
        <x:f>IF(F985&gt;200,"Large Order","Standard Order")</x:f>
        <x:v>Standard Order</x:v>
      </x:c>
    </x:row>
    <x:row r="986">
      <x:c r="A986" t="str">
        <x:v>Gigi Bohling</x:v>
      </x:c>
      <x:c r="B986" t="str">
        <x:v>USA</x:v>
      </x:c>
      <x:c r="C986" t="str">
        <x:v>Milk Bars</x:v>
      </x:c>
      <x:c r="D986" s="14" t="n">
        <x:v>44728</x:v>
      </x:c>
      <x:c r="E986" s="16" t="n">
        <x:v>476</x:v>
      </x:c>
      <x:c r="F986" s="18" t="n">
        <x:v>133</x:v>
      </x:c>
      <x:c r="G986" s="20" t="n">
        <x:f>IFERROR(E986/F986,0)</x:f>
        <x:v>3.5789473684210527</x:v>
      </x:c>
      <x:c r="H986" t="str">
        <x:f>TEXT(D986,"mmm")</x:f>
        <x:v>Jun</x:v>
      </x:c>
      <x:c r="I986" s="22" t="n">
        <x:f>MONTH(D986)</x:f>
        <x:v>6</x:v>
      </x:c>
      <x:c r="J986" s="22" t="n">
        <x:f>YEAR(D986)</x:f>
        <x:v>2022</x:v>
      </x:c>
      <x:c r="K986" t="str">
        <x:f>IF(F986&gt;200,"Large Order","Standard Order")</x:f>
        <x:v>Standard Order</x:v>
      </x:c>
    </x:row>
    <x:row r="987">
      <x:c r="A987" t="str">
        <x:v>Brien Boise</x:v>
      </x:c>
      <x:c r="B987" t="str">
        <x:v>UK</x:v>
      </x:c>
      <x:c r="C987" t="str">
        <x:v>Caramel Stuffed Bars</x:v>
      </x:c>
      <x:c r="D987" s="14" t="n">
        <x:v>44624</x:v>
      </x:c>
      <x:c r="E987" s="16" t="n">
        <x:v>2681</x:v>
      </x:c>
      <x:c r="F987" s="18" t="n">
        <x:v>149</x:v>
      </x:c>
      <x:c r="G987" s="20" t="n">
        <x:f>IFERROR(E987/F987,0)</x:f>
        <x:v>17.993288590604028</x:v>
      </x:c>
      <x:c r="H987" t="str">
        <x:f>TEXT(D987,"mmm")</x:f>
        <x:v>Mar</x:v>
      </x:c>
      <x:c r="I987" s="22" t="n">
        <x:f>MONTH(D987)</x:f>
        <x:v>3</x:v>
      </x:c>
      <x:c r="J987" s="22" t="n">
        <x:f>YEAR(D987)</x:f>
        <x:v>2022</x:v>
      </x:c>
      <x:c r="K987" t="str">
        <x:f>IF(F987&gt;200,"Large Order","Standard Order")</x:f>
        <x:v>Standard Order</x:v>
      </x:c>
    </x:row>
    <x:row r="988">
      <x:c r="A988" t="str">
        <x:v>Curtice Advani</x:v>
      </x:c>
      <x:c r="B988" t="str">
        <x:v>New Zealand</x:v>
      </x:c>
      <x:c r="C988" t="str">
        <x:v>Peanut Butter Cubes</x:v>
      </x:c>
      <x:c r="D988" s="14" t="n">
        <x:v>44635</x:v>
      </x:c>
      <x:c r="E988" s="16" t="n">
        <x:v>1533</x:v>
      </x:c>
      <x:c r="F988" s="18" t="n">
        <x:v>434</x:v>
      </x:c>
      <x:c r="G988" s="20" t="n">
        <x:f>IFERROR(E988/F988,0)</x:f>
        <x:v>3.532258064516129</x:v>
      </x:c>
      <x:c r="H988" t="str">
        <x:f>TEXT(D988,"mmm")</x:f>
        <x:v>Mar</x:v>
      </x:c>
      <x:c r="I988" s="22" t="n">
        <x:f>MONTH(D988)</x:f>
        <x:v>3</x:v>
      </x:c>
      <x:c r="J988" s="22" t="n">
        <x:f>YEAR(D988)</x:f>
        <x:v>2022</x:v>
      </x:c>
      <x:c r="K988" t="str">
        <x:f>IF(F988&gt;200,"Large Order","Standard Order")</x:f>
        <x:v>Large Order</x:v>
      </x:c>
    </x:row>
    <x:row r="989">
      <x:c r="A989" t="str">
        <x:v>Curtice Advani</x:v>
      </x:c>
      <x:c r="B989" t="str">
        <x:v>New Zealand</x:v>
      </x:c>
      <x:c r="C989" t="str">
        <x:v>50% Dark Bites</x:v>
      </x:c>
      <x:c r="D989" s="14" t="n">
        <x:v>44588</x:v>
      </x:c>
      <x:c r="E989" s="16" t="n">
        <x:v>9765</x:v>
      </x:c>
      <x:c r="F989" s="18" t="n">
        <x:v>85</x:v>
      </x:c>
      <x:c r="G989" s="20" t="n">
        <x:f>IFERROR(E989/F989,0)</x:f>
        <x:v>114.88235294117646</x:v>
      </x:c>
      <x:c r="H989" t="str">
        <x:f>TEXT(D989,"mmm")</x:f>
        <x:v>Jan</x:v>
      </x:c>
      <x:c r="I989" s="22" t="n">
        <x:f>MONTH(D989)</x:f>
        <x:v>1</x:v>
      </x:c>
      <x:c r="J989" s="22" t="n">
        <x:f>YEAR(D989)</x:f>
        <x:v>2022</x:v>
      </x:c>
      <x:c r="K989" t="str">
        <x:f>IF(F989&gt;200,"Large Order","Standard Order")</x:f>
        <x:v>Standard Order</x:v>
      </x:c>
    </x:row>
    <x:row r="990">
      <x:c r="A990" t="str">
        <x:v>Beverie Moffet</x:v>
      </x:c>
      <x:c r="B990" t="str">
        <x:v>Canada</x:v>
      </x:c>
      <x:c r="C990" t="str">
        <x:v>Drinking Coco</x:v>
      </x:c>
      <x:c r="D990" s="14" t="n">
        <x:v>44747</x:v>
      </x:c>
      <x:c r="E990" s="16" t="n">
        <x:v>994</x:v>
      </x:c>
      <x:c r="F990" s="18" t="n">
        <x:v>118</x:v>
      </x:c>
      <x:c r="G990" s="20" t="n">
        <x:f>IFERROR(E990/F990,0)</x:f>
        <x:v>8.423728813559322</x:v>
      </x:c>
      <x:c r="H990" t="str">
        <x:f>TEXT(D990,"mmm")</x:f>
        <x:v>Jul</x:v>
      </x:c>
      <x:c r="I990" s="22" t="n">
        <x:f>MONTH(D990)</x:f>
        <x:v>7</x:v>
      </x:c>
      <x:c r="J990" s="22" t="n">
        <x:f>YEAR(D990)</x:f>
        <x:v>2022</x:v>
      </x:c>
      <x:c r="K990" t="str">
        <x:f>IF(F990&gt;200,"Large Order","Standard Order")</x:f>
        <x:v>Standard Order</x:v>
      </x:c>
    </x:row>
    <x:row r="991">
      <x:c r="A991" t="str">
        <x:v>Barr Faughny</x:v>
      </x:c>
      <x:c r="B991" t="str">
        <x:v>USA</x:v>
      </x:c>
      <x:c r="C991" t="str">
        <x:v>Caramel Stuffed Bars</x:v>
      </x:c>
      <x:c r="D991" s="14" t="n">
        <x:v>44649</x:v>
      </x:c>
      <x:c r="E991" s="16" t="n">
        <x:v>3318</x:v>
      </x:c>
      <x:c r="F991" s="18" t="n">
        <x:v>299</x:v>
      </x:c>
      <x:c r="G991" s="20" t="n">
        <x:f>IFERROR(E991/F991,0)</x:f>
        <x:v>11.096989966555183</x:v>
      </x:c>
      <x:c r="H991" t="str">
        <x:f>TEXT(D991,"mmm")</x:f>
        <x:v>Mar</x:v>
      </x:c>
      <x:c r="I991" s="22" t="n">
        <x:f>MONTH(D991)</x:f>
        <x:v>3</x:v>
      </x:c>
      <x:c r="J991" s="22" t="n">
        <x:f>YEAR(D991)</x:f>
        <x:v>2022</x:v>
      </x:c>
      <x:c r="K991" t="str">
        <x:f>IF(F991&gt;200,"Large Order","Standard Order")</x:f>
        <x:v>Large Order</x:v>
      </x:c>
    </x:row>
    <x:row r="992">
      <x:c r="A992" t="str">
        <x:v>Mallorie Waber</x:v>
      </x:c>
      <x:c r="B992" t="str">
        <x:v>Canada</x:v>
      </x:c>
      <x:c r="C992" t="str">
        <x:v>Almond Choco</x:v>
      </x:c>
      <x:c r="D992" s="14" t="n">
        <x:v>44693</x:v>
      </x:c>
      <x:c r="E992" s="16" t="n">
        <x:v>4214</x:v>
      </x:c>
      <x:c r="F992" s="18" t="n">
        <x:v>35</x:v>
      </x:c>
      <x:c r="G992" s="20" t="n">
        <x:f>IFERROR(E992/F992,0)</x:f>
        <x:v>120.4</x:v>
      </x:c>
      <x:c r="H992" t="str">
        <x:f>TEXT(D992,"mmm")</x:f>
        <x:v>May</x:v>
      </x:c>
      <x:c r="I992" s="22" t="n">
        <x:f>MONTH(D992)</x:f>
        <x:v>5</x:v>
      </x:c>
      <x:c r="J992" s="22" t="n">
        <x:f>YEAR(D992)</x:f>
        <x:v>2022</x:v>
      </x:c>
      <x:c r="K992" t="str">
        <x:f>IF(F992&gt;200,"Large Order","Standard Order")</x:f>
        <x:v>Standard Order</x:v>
      </x:c>
    </x:row>
    <x:row r="993">
      <x:c r="A993" t="str">
        <x:v>Oby Sorrel</x:v>
      </x:c>
      <x:c r="B993" t="str">
        <x:v>USA</x:v>
      </x:c>
      <x:c r="C993" t="str">
        <x:v>Drinking Coco</x:v>
      </x:c>
      <x:c r="D993" s="14" t="n">
        <x:v>44631</x:v>
      </x:c>
      <x:c r="E993" s="16" t="n">
        <x:v>7714</x:v>
      </x:c>
      <x:c r="F993" s="18" t="n">
        <x:v>44</x:v>
      </x:c>
      <x:c r="G993" s="20" t="n">
        <x:f>IFERROR(E993/F993,0)</x:f>
        <x:v>175.3181818181818</x:v>
      </x:c>
      <x:c r="H993" t="str">
        <x:f>TEXT(D993,"mmm")</x:f>
        <x:v>Mar</x:v>
      </x:c>
      <x:c r="I993" s="22" t="n">
        <x:f>MONTH(D993)</x:f>
        <x:v>3</x:v>
      </x:c>
      <x:c r="J993" s="22" t="n">
        <x:f>YEAR(D993)</x:f>
        <x:v>2022</x:v>
      </x:c>
      <x:c r="K993" t="str">
        <x:f>IF(F993&gt;200,"Large Order","Standard Order")</x:f>
        <x:v>Standard Order</x:v>
      </x:c>
    </x:row>
    <x:row r="994">
      <x:c r="A994" t="str">
        <x:v>Brien Boise</x:v>
      </x:c>
      <x:c r="B994" t="str">
        <x:v>New Zealand</x:v>
      </x:c>
      <x:c r="C994" t="str">
        <x:v>Eclairs</x:v>
      </x:c>
      <x:c r="D994" s="14" t="n">
        <x:v>44753</x:v>
      </x:c>
      <x:c r="E994" s="16" t="n">
        <x:v>4690</x:v>
      </x:c>
      <x:c r="F994" s="18" t="n">
        <x:v>299</x:v>
      </x:c>
      <x:c r="G994" s="20" t="n">
        <x:f>IFERROR(E994/F994,0)</x:f>
        <x:v>15.68561872909699</x:v>
      </x:c>
      <x:c r="H994" t="str">
        <x:f>TEXT(D994,"mmm")</x:f>
        <x:v>Jul</x:v>
      </x:c>
      <x:c r="I994" s="22" t="n">
        <x:f>MONTH(D994)</x:f>
        <x:v>7</x:v>
      </x:c>
      <x:c r="J994" s="22" t="n">
        <x:f>YEAR(D994)</x:f>
        <x:v>2022</x:v>
      </x:c>
      <x:c r="K994" t="str">
        <x:f>IF(F994&gt;200,"Large Order","Standard Order")</x:f>
        <x:v>Large Order</x:v>
      </x:c>
    </x:row>
    <x:row r="995">
      <x:c r="A995" t="str">
        <x:v>Gunar Cockshoot</x:v>
      </x:c>
      <x:c r="B995" t="str">
        <x:v>New Zealand</x:v>
      </x:c>
      <x:c r="C995" t="str">
        <x:v>Choco Coated Almonds</x:v>
      </x:c>
      <x:c r="D995" s="14" t="n">
        <x:v>44774</x:v>
      </x:c>
      <x:c r="E995" s="16" t="n">
        <x:v>13062</x:v>
      </x:c>
      <x:c r="F995" s="18" t="n">
        <x:v>62</x:v>
      </x:c>
      <x:c r="G995" s="20" t="n">
        <x:f>IFERROR(E995/F995,0)</x:f>
        <x:v>210.67741935483872</x:v>
      </x:c>
      <x:c r="H995" t="str">
        <x:f>TEXT(D995,"mmm")</x:f>
        <x:v>Aug</x:v>
      </x:c>
      <x:c r="I995" s="22" t="n">
        <x:f>MONTH(D995)</x:f>
        <x:v>8</x:v>
      </x:c>
      <x:c r="J995" s="22" t="n">
        <x:f>YEAR(D995)</x:f>
        <x:v>2022</x:v>
      </x:c>
      <x:c r="K995" t="str">
        <x:f>IF(F995&gt;200,"Large Order","Standard Order")</x:f>
        <x:v>Standard Order</x:v>
      </x:c>
    </x:row>
    <x:row r="996">
      <x:c r="A996" t="str">
        <x:v>Gunar Cockshoot</x:v>
      </x:c>
      <x:c r="B996" t="str">
        <x:v>UK</x:v>
      </x:c>
      <x:c r="C996" t="str">
        <x:v>Spicy Special Slims</x:v>
      </x:c>
      <x:c r="D996" s="14" t="n">
        <x:v>44608</x:v>
      </x:c>
      <x:c r="E996" s="16" t="n">
        <x:v>12488</x:v>
      </x:c>
      <x:c r="F996" s="18" t="n">
        <x:v>200</x:v>
      </x:c>
      <x:c r="G996" s="20" t="n">
        <x:f>IFERROR(E996/F996,0)</x:f>
        <x:v>62.44</x:v>
      </x:c>
      <x:c r="H996" t="str">
        <x:f>TEXT(D996,"mmm")</x:f>
        <x:v>Feb</x:v>
      </x:c>
      <x:c r="I996" s="22" t="n">
        <x:f>MONTH(D996)</x:f>
        <x:v>2</x:v>
      </x:c>
      <x:c r="J996" s="22" t="n">
        <x:f>YEAR(D996)</x:f>
        <x:v>2022</x:v>
      </x:c>
      <x:c r="K996" t="str">
        <x:f>IF(F996&gt;200,"Large Order","Standard Order")</x:f>
        <x:v>Standard Order</x:v>
      </x:c>
    </x:row>
    <x:row r="997">
      <x:c r="A997" t="str">
        <x:v>Curtice Advani</x:v>
      </x:c>
      <x:c r="B997" t="str">
        <x:v>USA</x:v>
      </x:c>
      <x:c r="C997" t="str">
        <x:v>After Nines</x:v>
      </x:c>
      <x:c r="D997" s="14" t="n">
        <x:v>44664</x:v>
      </x:c>
      <x:c r="E997" s="16" t="n">
        <x:v>14147</x:v>
      </x:c>
      <x:c r="F997" s="18" t="n">
        <x:v>235</x:v>
      </x:c>
      <x:c r="G997" s="20" t="n">
        <x:f>IFERROR(E997/F997,0)</x:f>
        <x:v>60.2</x:v>
      </x:c>
      <x:c r="H997" t="str">
        <x:f>TEXT(D997,"mmm")</x:f>
        <x:v>Apr</x:v>
      </x:c>
      <x:c r="I997" s="22" t="n">
        <x:f>MONTH(D997)</x:f>
        <x:v>4</x:v>
      </x:c>
      <x:c r="J997" s="22" t="n">
        <x:f>YEAR(D997)</x:f>
        <x:v>2022</x:v>
      </x:c>
      <x:c r="K997" t="str">
        <x:f>IF(F997&gt;200,"Large Order","Standard Order")</x:f>
        <x:v>Large Order</x:v>
      </x:c>
    </x:row>
    <x:row r="998">
      <x:c r="A998" t="str">
        <x:v>Oby Sorrel</x:v>
      </x:c>
      <x:c r="B998" t="str">
        <x:v>India</x:v>
      </x:c>
      <x:c r="C998" t="str">
        <x:v>Choco Coated Almonds</x:v>
      </x:c>
      <x:c r="D998" s="14" t="n">
        <x:v>44606</x:v>
      </x:c>
      <x:c r="E998" s="16" t="n">
        <x:v>49</x:v>
      </x:c>
      <x:c r="F998" s="18" t="n">
        <x:v>363</x:v>
      </x:c>
      <x:c r="G998" s="20" t="n">
        <x:f>IFERROR(E998/F998,0)</x:f>
        <x:v>0.1349862258953168</x:v>
      </x:c>
      <x:c r="H998" t="str">
        <x:f>TEXT(D998,"mmm")</x:f>
        <x:v>Feb</x:v>
      </x:c>
      <x:c r="I998" s="22" t="n">
        <x:f>MONTH(D998)</x:f>
        <x:v>2</x:v>
      </x:c>
      <x:c r="J998" s="22" t="n">
        <x:f>YEAR(D998)</x:f>
        <x:v>2022</x:v>
      </x:c>
      <x:c r="K998" t="str">
        <x:f>IF(F998&gt;200,"Large Order","Standard Order")</x:f>
        <x:v>Large Order</x:v>
      </x:c>
    </x:row>
    <x:row r="999">
      <x:c r="A999" t="str">
        <x:v>Ches Bonnell</x:v>
      </x:c>
      <x:c r="B999" t="str">
        <x:v>Australia</x:v>
      </x:c>
      <x:c r="C999" t="str">
        <x:v>Peanut Butter Cubes</x:v>
      </x:c>
      <x:c r="D999" s="14" t="n">
        <x:v>44634</x:v>
      </x:c>
      <x:c r="E999" s="16" t="n">
        <x:v>10199</x:v>
      </x:c>
      <x:c r="F999" s="18" t="n">
        <x:v>68</x:v>
      </x:c>
      <x:c r="G999" s="20" t="n">
        <x:f>IFERROR(E999/F999,0)</x:f>
        <x:v>149.98529411764707</x:v>
      </x:c>
      <x:c r="H999" t="str">
        <x:f>TEXT(D999,"mmm")</x:f>
        <x:v>Mar</x:v>
      </x:c>
      <x:c r="I999" s="22" t="n">
        <x:f>MONTH(D999)</x:f>
        <x:v>3</x:v>
      </x:c>
      <x:c r="J999" s="22" t="n">
        <x:f>YEAR(D999)</x:f>
        <x:v>2022</x:v>
      </x:c>
      <x:c r="K999" t="str">
        <x:f>IF(F999&gt;200,"Large Order","Standard Order")</x:f>
        <x:v>Standard Order</x:v>
      </x:c>
    </x:row>
    <x:row r="1000">
      <x:c r="A1000" t="str">
        <x:v>Oby Sorrel</x:v>
      </x:c>
      <x:c r="B1000" t="str">
        <x:v>Australia</x:v>
      </x:c>
      <x:c r="C1000" t="str">
        <x:v>Spicy Special Slims</x:v>
      </x:c>
      <x:c r="D1000" s="14" t="n">
        <x:v>44677</x:v>
      </x:c>
      <x:c r="E1000" s="16" t="n">
        <x:v>11389</x:v>
      </x:c>
      <x:c r="F1000" s="18" t="n">
        <x:v>26</x:v>
      </x:c>
      <x:c r="G1000" s="20" t="n">
        <x:f>IFERROR(E1000/F1000,0)</x:f>
        <x:v>438.03846153846155</x:v>
      </x:c>
      <x:c r="H1000" t="str">
        <x:f>TEXT(D1000,"mmm")</x:f>
        <x:v>Apr</x:v>
      </x:c>
      <x:c r="I1000" s="22" t="n">
        <x:f>MONTH(D1000)</x:f>
        <x:v>4</x:v>
      </x:c>
      <x:c r="J1000" s="22" t="n">
        <x:f>YEAR(D1000)</x:f>
        <x:v>2022</x:v>
      </x:c>
      <x:c r="K1000" t="str">
        <x:f>IF(F1000&gt;200,"Large Order","Standard Order")</x:f>
        <x:v>Standard Order</x:v>
      </x:c>
    </x:row>
    <x:row r="1001">
      <x:c r="A1001" t="str">
        <x:v>Jehu Rudeforth</x:v>
      </x:c>
      <x:c r="B1001" t="str">
        <x:v>Canada</x:v>
      </x:c>
      <x:c r="C1001" t="str">
        <x:v>Manuka Honey Choco</x:v>
      </x:c>
      <x:c r="D1001" s="14" t="n">
        <x:v>44656</x:v>
      </x:c>
      <x:c r="E1001" s="16" t="n">
        <x:v>3584</x:v>
      </x:c>
      <x:c r="F1001" s="18" t="n">
        <x:v>200</x:v>
      </x:c>
      <x:c r="G1001" s="20" t="n">
        <x:f>IFERROR(E1001/F1001,0)</x:f>
        <x:v>17.92</x:v>
      </x:c>
      <x:c r="H1001" t="str">
        <x:f>TEXT(D1001,"mmm")</x:f>
        <x:v>Apr</x:v>
      </x:c>
      <x:c r="I1001" s="22" t="n">
        <x:f>MONTH(D1001)</x:f>
        <x:v>4</x:v>
      </x:c>
      <x:c r="J1001" s="22" t="n">
        <x:f>YEAR(D1001)</x:f>
        <x:v>2022</x:v>
      </x:c>
      <x:c r="K1001" t="str">
        <x:f>IF(F1001&gt;200,"Large Order","Standard Order")</x:f>
        <x:v>Standard Order</x:v>
      </x:c>
    </x:row>
    <x:row r="1002">
      <x:c r="A1002" t="str">
        <x:v>Camilla Castle</x:v>
      </x:c>
      <x:c r="B1002" t="str">
        <x:v>Canada</x:v>
      </x:c>
      <x:c r="C1002" t="str">
        <x:v>Drinking Coco</x:v>
      </x:c>
      <x:c r="D1002" s="14" t="n">
        <x:v>44623</x:v>
      </x:c>
      <x:c r="E1002" s="16" t="n">
        <x:v>12481</x:v>
      </x:c>
      <x:c r="F1002" s="18" t="n">
        <x:v>264</x:v>
      </x:c>
      <x:c r="G1002" s="20" t="n">
        <x:f>IFERROR(E1002/F1002,0)</x:f>
        <x:v>47.27651515151515</x:v>
      </x:c>
      <x:c r="H1002" t="str">
        <x:f>TEXT(D1002,"mmm")</x:f>
        <x:v>Mar</x:v>
      </x:c>
      <x:c r="I1002" s="22" t="n">
        <x:f>MONTH(D1002)</x:f>
        <x:v>3</x:v>
      </x:c>
      <x:c r="J1002" s="22" t="n">
        <x:f>YEAR(D1002)</x:f>
        <x:v>2022</x:v>
      </x:c>
      <x:c r="K1002" t="str">
        <x:f>IF(F1002&gt;200,"Large Order","Standard Order")</x:f>
        <x:v>Large Order</x:v>
      </x:c>
    </x:row>
    <x:row r="1003">
      <x:c r="A1003" t="str">
        <x:v>Kaine Padly</x:v>
      </x:c>
      <x:c r="B1003" t="str">
        <x:v>USA</x:v>
      </x:c>
      <x:c r="C1003" t="str">
        <x:v>Spicy Special Slims</x:v>
      </x:c>
      <x:c r="D1003" s="14" t="n">
        <x:v>44725</x:v>
      </x:c>
      <x:c r="E1003" s="16" t="n">
        <x:v>2107</x:v>
      </x:c>
      <x:c r="F1003" s="18" t="n">
        <x:v>175</x:v>
      </x:c>
      <x:c r="G1003" s="20" t="n">
        <x:f>IFERROR(E1003/F1003,0)</x:f>
        <x:v>12.04</x:v>
      </x:c>
      <x:c r="H1003" t="str">
        <x:f>TEXT(D1003,"mmm")</x:f>
        <x:v>Jun</x:v>
      </x:c>
      <x:c r="I1003" s="22" t="n">
        <x:f>MONTH(D1003)</x:f>
        <x:v>6</x:v>
      </x:c>
      <x:c r="J1003" s="22" t="n">
        <x:f>YEAR(D1003)</x:f>
        <x:v>2022</x:v>
      </x:c>
      <x:c r="K1003" t="str">
        <x:f>IF(F1003&gt;200,"Large Order","Standard Order")</x:f>
        <x:v>Standard Order</x:v>
      </x:c>
    </x:row>
    <x:row r="1004">
      <x:c r="A1004" t="str">
        <x:v>Marney O'Breen</x:v>
      </x:c>
      <x:c r="B1004" t="str">
        <x:v>New Zealand</x:v>
      </x:c>
      <x:c r="C1004" t="str">
        <x:v>70% Dark Bites</x:v>
      </x:c>
      <x:c r="D1004" s="14" t="n">
        <x:v>44606</x:v>
      </x:c>
      <x:c r="E1004" s="16" t="n">
        <x:v>8603</x:v>
      </x:c>
      <x:c r="F1004" s="18" t="n">
        <x:v>352</x:v>
      </x:c>
      <x:c r="G1004" s="20" t="n">
        <x:f>IFERROR(E1004/F1004,0)</x:f>
        <x:v>24.44034090909091</x:v>
      </x:c>
      <x:c r="H1004" t="str">
        <x:f>TEXT(D1004,"mmm")</x:f>
        <x:v>Feb</x:v>
      </x:c>
      <x:c r="I1004" s="22" t="n">
        <x:f>MONTH(D1004)</x:f>
        <x:v>2</x:v>
      </x:c>
      <x:c r="J1004" s="22" t="n">
        <x:f>YEAR(D1004)</x:f>
        <x:v>2022</x:v>
      </x:c>
      <x:c r="K1004" t="str">
        <x:f>IF(F1004&gt;200,"Large Order","Standard Order")</x:f>
        <x:v>Large Order</x:v>
      </x:c>
    </x:row>
    <x:row r="1005">
      <x:c r="A1005" t="str">
        <x:v>Roddy Speechley</x:v>
      </x:c>
      <x:c r="B1005" t="str">
        <x:v>New Zealand</x:v>
      </x:c>
      <x:c r="C1005" t="str">
        <x:v>99% Dark &amp; Pure</x:v>
      </x:c>
      <x:c r="D1005" s="14" t="n">
        <x:v>44669</x:v>
      </x:c>
      <x:c r="E1005" s="16" t="n">
        <x:v>7483</x:v>
      </x:c>
      <x:c r="F1005" s="18" t="n">
        <x:v>183</x:v>
      </x:c>
      <x:c r="G1005" s="20" t="n">
        <x:f>IFERROR(E1005/F1005,0)</x:f>
        <x:v>40.89071038251366</x:v>
      </x:c>
      <x:c r="H1005" t="str">
        <x:f>TEXT(D1005,"mmm")</x:f>
        <x:v>Apr</x:v>
      </x:c>
      <x:c r="I1005" s="22" t="n">
        <x:f>MONTH(D1005)</x:f>
        <x:v>4</x:v>
      </x:c>
      <x:c r="J1005" s="22" t="n">
        <x:f>YEAR(D1005)</x:f>
        <x:v>2022</x:v>
      </x:c>
      <x:c r="K1005" t="str">
        <x:f>IF(F1005&gt;200,"Large Order","Standard Order")</x:f>
        <x:v>Standard Order</x:v>
      </x:c>
    </x:row>
    <x:row r="1006">
      <x:c r="A1006" t="str">
        <x:v>Oby Sorrel</x:v>
      </x:c>
      <x:c r="B1006" t="str">
        <x:v>New Zealand</x:v>
      </x:c>
      <x:c r="C1006" t="str">
        <x:v>85% Dark Bars</x:v>
      </x:c>
      <x:c r="D1006" s="14" t="n">
        <x:v>44593</x:v>
      </x:c>
      <x:c r="E1006" s="16" t="n">
        <x:v>3381</x:v>
      </x:c>
      <x:c r="F1006" s="18" t="n">
        <x:v>417</x:v>
      </x:c>
      <x:c r="G1006" s="20" t="n">
        <x:f>IFERROR(E1006/F1006,0)</x:f>
        <x:v>8.107913669064748</x:v>
      </x:c>
      <x:c r="H1006" t="str">
        <x:f>TEXT(D1006,"mmm")</x:f>
        <x:v>Feb</x:v>
      </x:c>
      <x:c r="I1006" s="22" t="n">
        <x:f>MONTH(D1006)</x:f>
        <x:v>2</x:v>
      </x:c>
      <x:c r="J1006" s="22" t="n">
        <x:f>YEAR(D1006)</x:f>
        <x:v>2022</x:v>
      </x:c>
      <x:c r="K1006" t="str">
        <x:f>IF(F1006&gt;200,"Large Order","Standard Order")</x:f>
        <x:v>Large Order</x:v>
      </x:c>
    </x:row>
    <x:row r="1007">
      <x:c r="A1007" t="str">
        <x:v>Dotty Strutley</x:v>
      </x:c>
      <x:c r="B1007" t="str">
        <x:v>New Zealand</x:v>
      </x:c>
      <x:c r="C1007" t="str">
        <x:v>Orange Choco</x:v>
      </x:c>
      <x:c r="D1007" s="14" t="n">
        <x:v>44777</x:v>
      </x:c>
      <x:c r="E1007" s="16" t="n">
        <x:v>2030</x:v>
      </x:c>
      <x:c r="F1007" s="18" t="n">
        <x:v>146</x:v>
      </x:c>
      <x:c r="G1007" s="20" t="n">
        <x:f>IFERROR(E1007/F1007,0)</x:f>
        <x:v>13.904109589041095</x:v>
      </x:c>
      <x:c r="H1007" t="str">
        <x:f>TEXT(D1007,"mmm")</x:f>
        <x:v>Aug</x:v>
      </x:c>
      <x:c r="I1007" s="22" t="n">
        <x:f>MONTH(D1007)</x:f>
        <x:v>8</x:v>
      </x:c>
      <x:c r="J1007" s="22" t="n">
        <x:f>YEAR(D1007)</x:f>
        <x:v>2022</x:v>
      </x:c>
      <x:c r="K1007" t="str">
        <x:f>IF(F1007&gt;200,"Large Order","Standard Order")</x:f>
        <x:v>Standard Order</x:v>
      </x:c>
    </x:row>
    <x:row r="1008">
      <x:c r="A1008" t="str">
        <x:v>Andria Kimpton</x:v>
      </x:c>
      <x:c r="B1008" t="str">
        <x:v>New Zealand</x:v>
      </x:c>
      <x:c r="C1008" t="str">
        <x:v>Almond Choco</x:v>
      </x:c>
      <x:c r="D1008" s="14" t="n">
        <x:v>44656</x:v>
      </x:c>
      <x:c r="E1008" s="16" t="n">
        <x:v>6559</x:v>
      </x:c>
      <x:c r="F1008" s="18" t="n">
        <x:v>158</x:v>
      </x:c>
      <x:c r="G1008" s="20" t="n">
        <x:f>IFERROR(E1008/F1008,0)</x:f>
        <x:v>41.5126582278481</x:v>
      </x:c>
      <x:c r="H1008" t="str">
        <x:f>TEXT(D1008,"mmm")</x:f>
        <x:v>Apr</x:v>
      </x:c>
      <x:c r="I1008" s="22" t="n">
        <x:f>MONTH(D1008)</x:f>
        <x:v>4</x:v>
      </x:c>
      <x:c r="J1008" s="22" t="n">
        <x:f>YEAR(D1008)</x:f>
        <x:v>2022</x:v>
      </x:c>
      <x:c r="K1008" t="str">
        <x:f>IF(F1008&gt;200,"Large Order","Standard Order")</x:f>
        <x:v>Standard Order</x:v>
      </x:c>
    </x:row>
    <x:row r="1009">
      <x:c r="A1009" t="str">
        <x:v>Karlen McCaffrey</x:v>
      </x:c>
      <x:c r="B1009" t="str">
        <x:v>Australia</x:v>
      </x:c>
      <x:c r="C1009" t="str">
        <x:v>99% Dark &amp; Pure</x:v>
      </x:c>
      <x:c r="D1009" s="14" t="n">
        <x:v>44587</x:v>
      </x:c>
      <x:c r="E1009" s="16" t="n">
        <x:v>10822</x:v>
      </x:c>
      <x:c r="F1009" s="18" t="n">
        <x:v>168</x:v>
      </x:c>
      <x:c r="G1009" s="20" t="n">
        <x:f>IFERROR(E1009/F1009,0)</x:f>
        <x:v>64.41666666666667</x:v>
      </x:c>
      <x:c r="H1009" t="str">
        <x:f>TEXT(D1009,"mmm")</x:f>
        <x:v>Jan</x:v>
      </x:c>
      <x:c r="I1009" s="22" t="n">
        <x:f>MONTH(D1009)</x:f>
        <x:v>1</x:v>
      </x:c>
      <x:c r="J1009" s="22" t="n">
        <x:f>YEAR(D1009)</x:f>
        <x:v>2022</x:v>
      </x:c>
      <x:c r="K1009" t="str">
        <x:f>IF(F1009&gt;200,"Large Order","Standard Order")</x:f>
        <x:v>Standard Order</x:v>
      </x:c>
    </x:row>
    <x:row r="1010">
      <x:c r="A1010" t="str">
        <x:v>Kaine Padly</x:v>
      </x:c>
      <x:c r="B1010" t="str">
        <x:v>UK</x:v>
      </x:c>
      <x:c r="C1010" t="str">
        <x:v>After Nines</x:v>
      </x:c>
      <x:c r="D1010" s="14" t="n">
        <x:v>44582</x:v>
      </x:c>
      <x:c r="E1010" s="16" t="n">
        <x:v>18697</x:v>
      </x:c>
      <x:c r="F1010" s="18" t="n">
        <x:v>176</x:v>
      </x:c>
      <x:c r="G1010" s="20" t="n">
        <x:f>IFERROR(E1010/F1010,0)</x:f>
        <x:v>106.23295454545455</x:v>
      </x:c>
      <x:c r="H1010" t="str">
        <x:f>TEXT(D1010,"mmm")</x:f>
        <x:v>Jan</x:v>
      </x:c>
      <x:c r="I1010" s="22" t="n">
        <x:f>MONTH(D1010)</x:f>
        <x:v>1</x:v>
      </x:c>
      <x:c r="J1010" s="22" t="n">
        <x:f>YEAR(D1010)</x:f>
        <x:v>2022</x:v>
      </x:c>
      <x:c r="K1010" t="str">
        <x:f>IF(F1010&gt;200,"Large Order","Standard Order")</x:f>
        <x:v>Standard Order</x:v>
      </x:c>
    </x:row>
    <x:row r="1011">
      <x:c r="A1011" t="str">
        <x:v>Kaine Padly</x:v>
      </x:c>
      <x:c r="B1011" t="str">
        <x:v>Canada</x:v>
      </x:c>
      <x:c r="C1011" t="str">
        <x:v>After Nines</x:v>
      </x:c>
      <x:c r="D1011" s="14" t="n">
        <x:v>44795</x:v>
      </x:c>
      <x:c r="E1011" s="16" t="n">
        <x:v>5845</x:v>
      </x:c>
      <x:c r="F1011" s="18" t="n">
        <x:v>172</x:v>
      </x:c>
      <x:c r="G1011" s="20" t="n">
        <x:f>IFERROR(E1011/F1011,0)</x:f>
        <x:v>33.98255813953488</x:v>
      </x:c>
      <x:c r="H1011" t="str">
        <x:f>TEXT(D1011,"mmm")</x:f>
        <x:v>Aug</x:v>
      </x:c>
      <x:c r="I1011" s="22" t="n">
        <x:f>MONTH(D1011)</x:f>
        <x:v>8</x:v>
      </x:c>
      <x:c r="J1011" s="22" t="n">
        <x:f>YEAR(D1011)</x:f>
        <x:v>2022</x:v>
      </x:c>
      <x:c r="K1011" t="str">
        <x:f>IF(F1011&gt;200,"Large Order","Standard Order")</x:f>
        <x:v>Standard Order</x:v>
      </x:c>
    </x:row>
    <x:row r="1012">
      <x:c r="A1012" t="str">
        <x:v>Kaine Padly</x:v>
      </x:c>
      <x:c r="B1012" t="str">
        <x:v>UK</x:v>
      </x:c>
      <x:c r="C1012" t="str">
        <x:v>Drinking Coco</x:v>
      </x:c>
      <x:c r="D1012" s="14" t="n">
        <x:v>44588</x:v>
      </x:c>
      <x:c r="E1012" s="16" t="n">
        <x:v>2317</x:v>
      </x:c>
      <x:c r="F1012" s="18" t="n">
        <x:v>224</x:v>
      </x:c>
      <x:c r="G1012" s="20" t="n">
        <x:f>IFERROR(E1012/F1012,0)</x:f>
        <x:v>10.34375</x:v>
      </x:c>
      <x:c r="H1012" t="str">
        <x:f>TEXT(D1012,"mmm")</x:f>
        <x:v>Jan</x:v>
      </x:c>
      <x:c r="I1012" s="22" t="n">
        <x:f>MONTH(D1012)</x:f>
        <x:v>1</x:v>
      </x:c>
      <x:c r="J1012" s="22" t="n">
        <x:f>YEAR(D1012)</x:f>
        <x:v>2022</x:v>
      </x:c>
      <x:c r="K1012" t="str">
        <x:f>IF(F1012&gt;200,"Large Order","Standard Order")</x:f>
        <x:v>Large Order</x:v>
      </x:c>
    </x:row>
    <x:row r="1013">
      <x:c r="A1013" t="str">
        <x:v>Rafaelita Blaksland</x:v>
      </x:c>
      <x:c r="B1013" t="str">
        <x:v>UK</x:v>
      </x:c>
      <x:c r="C1013" t="str">
        <x:v>50% Dark Bites</x:v>
      </x:c>
      <x:c r="D1013" s="14" t="n">
        <x:v>44608</x:v>
      </x:c>
      <x:c r="E1013" s="16" t="n">
        <x:v>10150</x:v>
      </x:c>
      <x:c r="F1013" s="18" t="n">
        <x:v>68</x:v>
      </x:c>
      <x:c r="G1013" s="20" t="n">
        <x:f>IFERROR(E1013/F1013,0)</x:f>
        <x:v>149.26470588235293</x:v>
      </x:c>
      <x:c r="H1013" t="str">
        <x:f>TEXT(D1013,"mmm")</x:f>
        <x:v>Feb</x:v>
      </x:c>
      <x:c r="I1013" s="22" t="n">
        <x:f>MONTH(D1013)</x:f>
        <x:v>2</x:v>
      </x:c>
      <x:c r="J1013" s="22" t="n">
        <x:f>YEAR(D1013)</x:f>
        <x:v>2022</x:v>
      </x:c>
      <x:c r="K1013" t="str">
        <x:f>IF(F1013&gt;200,"Large Order","Standard Order")</x:f>
        <x:v>Standard Order</x:v>
      </x:c>
    </x:row>
    <x:row r="1014">
      <x:c r="A1014" t="str">
        <x:v>Dotty Strutley</x:v>
      </x:c>
      <x:c r="B1014" t="str">
        <x:v>USA</x:v>
      </x:c>
      <x:c r="C1014" t="str">
        <x:v>Raspberry Choco</x:v>
      </x:c>
      <x:c r="D1014" s="14" t="n">
        <x:v>44564</x:v>
      </x:c>
      <x:c r="E1014" s="16" t="n">
        <x:v>3437</x:v>
      </x:c>
      <x:c r="F1014" s="18" t="n">
        <x:v>46</x:v>
      </x:c>
      <x:c r="G1014" s="20" t="n">
        <x:f>IFERROR(E1014/F1014,0)</x:f>
        <x:v>74.71739130434783</x:v>
      </x:c>
      <x:c r="H1014" t="str">
        <x:f>TEXT(D1014,"mmm")</x:f>
        <x:v>Jan</x:v>
      </x:c>
      <x:c r="I1014" s="22" t="n">
        <x:f>MONTH(D1014)</x:f>
        <x:v>1</x:v>
      </x:c>
      <x:c r="J1014" s="22" t="n">
        <x:f>YEAR(D1014)</x:f>
        <x:v>2022</x:v>
      </x:c>
      <x:c r="K1014" t="str">
        <x:f>IF(F1014&gt;200,"Large Order","Standard Order")</x:f>
        <x:v>Standard Order</x:v>
      </x:c>
    </x:row>
    <x:row r="1015">
      <x:c r="A1015" t="str">
        <x:v>Karlen McCaffrey</x:v>
      </x:c>
      <x:c r="B1015" t="str">
        <x:v>USA</x:v>
      </x:c>
      <x:c r="C1015" t="str">
        <x:v>White Choc</x:v>
      </x:c>
      <x:c r="D1015" s="14" t="n">
        <x:v>44797</x:v>
      </x:c>
      <x:c r="E1015" s="16" t="n">
        <x:v>4592</x:v>
      </x:c>
      <x:c r="F1015" s="18" t="n">
        <x:v>2</x:v>
      </x:c>
      <x:c r="G1015" s="20" t="n">
        <x:f>IFERROR(E1015/F1015,0)</x:f>
        <x:v>2296</x:v>
      </x:c>
      <x:c r="H1015" t="str">
        <x:f>TEXT(D1015,"mmm")</x:f>
        <x:v>Aug</x:v>
      </x:c>
      <x:c r="I1015" s="22" t="n">
        <x:f>MONTH(D1015)</x:f>
        <x:v>8</x:v>
      </x:c>
      <x:c r="J1015" s="22" t="n">
        <x:f>YEAR(D1015)</x:f>
        <x:v>2022</x:v>
      </x:c>
      <x:c r="K1015" t="str">
        <x:f>IF(F1015&gt;200,"Large Order","Standard Order")</x:f>
        <x:v>Standard Order</x:v>
      </x:c>
    </x:row>
    <x:row r="1016">
      <x:c r="A1016" t="str">
        <x:v>Oby Sorrel</x:v>
      </x:c>
      <x:c r="B1016" t="str">
        <x:v>USA</x:v>
      </x:c>
      <x:c r="C1016" t="str">
        <x:v>Spicy Special Slims</x:v>
      </x:c>
      <x:c r="D1016" s="14" t="n">
        <x:v>44599</x:v>
      </x:c>
      <x:c r="E1016" s="16" t="n">
        <x:v>5691</x:v>
      </x:c>
      <x:c r="F1016" s="18" t="n">
        <x:v>417</x:v>
      </x:c>
      <x:c r="G1016" s="20" t="n">
        <x:f>IFERROR(E1016/F1016,0)</x:f>
        <x:v>13.647482014388489</x:v>
      </x:c>
      <x:c r="H1016" t="str">
        <x:f>TEXT(D1016,"mmm")</x:f>
        <x:v>Feb</x:v>
      </x:c>
      <x:c r="I1016" s="22" t="n">
        <x:f>MONTH(D1016)</x:f>
        <x:v>2</x:v>
      </x:c>
      <x:c r="J1016" s="22" t="n">
        <x:f>YEAR(D1016)</x:f>
        <x:v>2022</x:v>
      </x:c>
      <x:c r="K1016" t="str">
        <x:f>IF(F1016&gt;200,"Large Order","Standard Order")</x:f>
        <x:v>Large Order</x:v>
      </x:c>
    </x:row>
    <x:row r="1017">
      <x:c r="A1017" t="str">
        <x:v>Mallorie Waber</x:v>
      </x:c>
      <x:c r="B1017" t="str">
        <x:v>Australia</x:v>
      </x:c>
      <x:c r="C1017" t="str">
        <x:v>Smooth Silky Salty</x:v>
      </x:c>
      <x:c r="D1017" s="14" t="n">
        <x:v>44603</x:v>
      </x:c>
      <x:c r="E1017" s="16" t="n">
        <x:v>4158</x:v>
      </x:c>
      <x:c r="F1017" s="18" t="n">
        <x:v>109</x:v>
      </x:c>
      <x:c r="G1017" s="20" t="n">
        <x:f>IFERROR(E1017/F1017,0)</x:f>
        <x:v>38.14678899082569</x:v>
      </x:c>
      <x:c r="H1017" t="str">
        <x:f>TEXT(D1017,"mmm")</x:f>
        <x:v>Feb</x:v>
      </x:c>
      <x:c r="I1017" s="22" t="n">
        <x:f>MONTH(D1017)</x:f>
        <x:v>2</x:v>
      </x:c>
      <x:c r="J1017" s="22" t="n">
        <x:f>YEAR(D1017)</x:f>
        <x:v>2022</x:v>
      </x:c>
      <x:c r="K1017" t="str">
        <x:f>IF(F1017&gt;200,"Large Order","Standard Order")</x:f>
        <x:v>Standard Order</x:v>
      </x:c>
    </x:row>
    <x:row r="1018">
      <x:c r="A1018" t="str">
        <x:v>Kaine Padly</x:v>
      </x:c>
      <x:c r="B1018" t="str">
        <x:v>Canada</x:v>
      </x:c>
      <x:c r="C1018" t="str">
        <x:v>Organic Choco Syrup</x:v>
      </x:c>
      <x:c r="D1018" s="14" t="n">
        <x:v>44649</x:v>
      </x:c>
      <x:c r="E1018" s="16" t="n">
        <x:v>5684</x:v>
      </x:c>
      <x:c r="F1018" s="18" t="n">
        <x:v>81</x:v>
      </x:c>
      <x:c r="G1018" s="20" t="n">
        <x:f>IFERROR(E1018/F1018,0)</x:f>
        <x:v>70.17283950617283</x:v>
      </x:c>
      <x:c r="H1018" t="str">
        <x:f>TEXT(D1018,"mmm")</x:f>
        <x:v>Mar</x:v>
      </x:c>
      <x:c r="I1018" s="22" t="n">
        <x:f>MONTH(D1018)</x:f>
        <x:v>3</x:v>
      </x:c>
      <x:c r="J1018" s="22" t="n">
        <x:f>YEAR(D1018)</x:f>
        <x:v>2022</x:v>
      </x:c>
      <x:c r="K1018" t="str">
        <x:f>IF(F1018&gt;200,"Large Order","Standard Order")</x:f>
        <x:v>Standard Order</x:v>
      </x:c>
    </x:row>
    <x:row r="1019">
      <x:c r="A1019" t="str">
        <x:v>Marney O'Breen</x:v>
      </x:c>
      <x:c r="B1019" t="str">
        <x:v>USA</x:v>
      </x:c>
      <x:c r="C1019" t="str">
        <x:v>Peanut Butter Cubes</x:v>
      </x:c>
      <x:c r="D1019" s="14" t="n">
        <x:v>44727</x:v>
      </x:c>
      <x:c r="E1019" s="16" t="n">
        <x:v>693</x:v>
      </x:c>
      <x:c r="F1019" s="18" t="n">
        <x:v>350</x:v>
      </x:c>
      <x:c r="G1019" s="20" t="n">
        <x:f>IFERROR(E1019/F1019,0)</x:f>
        <x:v>1.98</x:v>
      </x:c>
      <x:c r="H1019" t="str">
        <x:f>TEXT(D1019,"mmm")</x:f>
        <x:v>Jun</x:v>
      </x:c>
      <x:c r="I1019" s="22" t="n">
        <x:f>MONTH(D1019)</x:f>
        <x:v>6</x:v>
      </x:c>
      <x:c r="J1019" s="22" t="n">
        <x:f>YEAR(D1019)</x:f>
        <x:v>2022</x:v>
      </x:c>
      <x:c r="K1019" t="str">
        <x:f>IF(F1019&gt;200,"Large Order","Standard Order")</x:f>
        <x:v>Large Order</x:v>
      </x:c>
    </x:row>
    <x:row r="1020">
      <x:c r="A1020" t="str">
        <x:v>Dennison Crosswaite</x:v>
      </x:c>
      <x:c r="B1020" t="str">
        <x:v>UK</x:v>
      </x:c>
      <x:c r="C1020" t="str">
        <x:v>Smooth Silky Salty</x:v>
      </x:c>
      <x:c r="D1020" s="14" t="n">
        <x:v>44677</x:v>
      </x:c>
      <x:c r="E1020" s="16" t="n">
        <x:v>546</x:v>
      </x:c>
      <x:c r="F1020" s="18" t="n">
        <x:v>142</x:v>
      </x:c>
      <x:c r="G1020" s="20" t="n">
        <x:f>IFERROR(E1020/F1020,0)</x:f>
        <x:v>3.8450704225352115</x:v>
      </x:c>
      <x:c r="H1020" t="str">
        <x:f>TEXT(D1020,"mmm")</x:f>
        <x:v>Apr</x:v>
      </x:c>
      <x:c r="I1020" s="22" t="n">
        <x:f>MONTH(D1020)</x:f>
        <x:v>4</x:v>
      </x:c>
      <x:c r="J1020" s="22" t="n">
        <x:f>YEAR(D1020)</x:f>
        <x:v>2022</x:v>
      </x:c>
      <x:c r="K1020" t="str">
        <x:f>IF(F1020&gt;200,"Large Order","Standard Order")</x:f>
        <x:v>Standard Order</x:v>
      </x:c>
    </x:row>
    <x:row r="1021">
      <x:c r="A1021" t="str">
        <x:v>Brien Boise</x:v>
      </x:c>
      <x:c r="B1021" t="str">
        <x:v>Australia</x:v>
      </x:c>
      <x:c r="C1021" t="str">
        <x:v>Organic Choco Syrup</x:v>
      </x:c>
      <x:c r="D1021" s="14" t="n">
        <x:v>44757</x:v>
      </x:c>
      <x:c r="E1021" s="16" t="n">
        <x:v>4263</x:v>
      </x:c>
      <x:c r="F1021" s="18" t="n">
        <x:v>264</x:v>
      </x:c>
      <x:c r="G1021" s="20" t="n">
        <x:f>IFERROR(E1021/F1021,0)</x:f>
        <x:v>16.147727272727273</x:v>
      </x:c>
      <x:c r="H1021" t="str">
        <x:f>TEXT(D1021,"mmm")</x:f>
        <x:v>Jul</x:v>
      </x:c>
      <x:c r="I1021" s="22" t="n">
        <x:f>MONTH(D1021)</x:f>
        <x:v>7</x:v>
      </x:c>
      <x:c r="J1021" s="22" t="n">
        <x:f>YEAR(D1021)</x:f>
        <x:v>2022</x:v>
      </x:c>
      <x:c r="K1021" t="str">
        <x:f>IF(F1021&gt;200,"Large Order","Standard Order")</x:f>
        <x:v>Large Order</x:v>
      </x:c>
    </x:row>
    <x:row r="1022">
      <x:c r="A1022" t="str">
        <x:v>Beverie Moffet</x:v>
      </x:c>
      <x:c r="B1022" t="str">
        <x:v>India</x:v>
      </x:c>
      <x:c r="C1022" t="str">
        <x:v>Organic Choco Syrup</x:v>
      </x:c>
      <x:c r="D1022" s="14" t="n">
        <x:v>44735</x:v>
      </x:c>
      <x:c r="E1022" s="16" t="n">
        <x:v>1036</x:v>
      </x:c>
      <x:c r="F1022" s="18" t="n">
        <x:v>20</x:v>
      </x:c>
      <x:c r="G1022" s="20" t="n">
        <x:f>IFERROR(E1022/F1022,0)</x:f>
        <x:v>51.8</x:v>
      </x:c>
      <x:c r="H1022" t="str">
        <x:f>TEXT(D1022,"mmm")</x:f>
        <x:v>Jun</x:v>
      </x:c>
      <x:c r="I1022" s="22" t="n">
        <x:f>MONTH(D1022)</x:f>
        <x:v>6</x:v>
      </x:c>
      <x:c r="J1022" s="22" t="n">
        <x:f>YEAR(D1022)</x:f>
        <x:v>2022</x:v>
      </x:c>
      <x:c r="K1022" t="str">
        <x:f>IF(F1022&gt;200,"Large Order","Standard Order")</x:f>
        <x:v>Standard Order</x:v>
      </x:c>
    </x:row>
    <x:row r="1023">
      <x:c r="A1023" t="str">
        <x:v>Dennison Crosswaite</x:v>
      </x:c>
      <x:c r="B1023" t="str">
        <x:v>Australia</x:v>
      </x:c>
      <x:c r="C1023" t="str">
        <x:v>Baker's Choco Chips</x:v>
      </x:c>
      <x:c r="D1023" s="14" t="n">
        <x:v>44572</x:v>
      </x:c>
      <x:c r="E1023" s="16" t="n">
        <x:v>13846</x:v>
      </x:c>
      <x:c r="F1023" s="18" t="n">
        <x:v>421</x:v>
      </x:c>
      <x:c r="G1023" s="20" t="n">
        <x:f>IFERROR(E1023/F1023,0)</x:f>
        <x:v>32.888361045130644</x:v>
      </x:c>
      <x:c r="H1023" t="str">
        <x:f>TEXT(D1023,"mmm")</x:f>
        <x:v>Jan</x:v>
      </x:c>
      <x:c r="I1023" s="22" t="n">
        <x:f>MONTH(D1023)</x:f>
        <x:v>1</x:v>
      </x:c>
      <x:c r="J1023" s="22" t="n">
        <x:f>YEAR(D1023)</x:f>
        <x:v>2022</x:v>
      </x:c>
      <x:c r="K1023" t="str">
        <x:f>IF(F1023&gt;200,"Large Order","Standard Order")</x:f>
        <x:v>Large Order</x:v>
      </x:c>
    </x:row>
    <x:row r="1024">
      <x:c r="A1024" t="str">
        <x:v>Beverie Moffet</x:v>
      </x:c>
      <x:c r="B1024" t="str">
        <x:v>UK</x:v>
      </x:c>
      <x:c r="C1024" t="str">
        <x:v>50% Dark Bites</x:v>
      </x:c>
      <x:c r="D1024" s="14" t="n">
        <x:v>44601</x:v>
      </x:c>
      <x:c r="E1024" s="16" t="n">
        <x:v>2499</x:v>
      </x:c>
      <x:c r="F1024" s="18" t="n">
        <x:v>271</x:v>
      </x:c>
      <x:c r="G1024" s="20" t="n">
        <x:f>IFERROR(E1024/F1024,0)</x:f>
        <x:v>9.22140221402214</x:v>
      </x:c>
      <x:c r="H1024" t="str">
        <x:f>TEXT(D1024,"mmm")</x:f>
        <x:v>Feb</x:v>
      </x:c>
      <x:c r="I1024" s="22" t="n">
        <x:f>MONTH(D1024)</x:f>
        <x:v>2</x:v>
      </x:c>
      <x:c r="J1024" s="22" t="n">
        <x:f>YEAR(D1024)</x:f>
        <x:v>2022</x:v>
      </x:c>
      <x:c r="K1024" t="str">
        <x:f>IF(F1024&gt;200,"Large Order","Standard Order")</x:f>
        <x:v>Large Order</x:v>
      </x:c>
    </x:row>
    <x:row r="1025">
      <x:c r="A1025" t="str">
        <x:v>Van Tuxwell</x:v>
      </x:c>
      <x:c r="B1025" t="str">
        <x:v>UK</x:v>
      </x:c>
      <x:c r="C1025" t="str">
        <x:v>Almond Choco</x:v>
      </x:c>
      <x:c r="D1025" s="14" t="n">
        <x:v>44718</x:v>
      </x:c>
      <x:c r="E1025" s="16" t="n">
        <x:v>10689</x:v>
      </x:c>
      <x:c r="F1025" s="18" t="n">
        <x:v>204</x:v>
      </x:c>
      <x:c r="G1025" s="20" t="n">
        <x:f>IFERROR(E1025/F1025,0)</x:f>
        <x:v>52.39705882352941</x:v>
      </x:c>
      <x:c r="H1025" t="str">
        <x:f>TEXT(D1025,"mmm")</x:f>
        <x:v>Jun</x:v>
      </x:c>
      <x:c r="I1025" s="22" t="n">
        <x:f>MONTH(D1025)</x:f>
        <x:v>6</x:v>
      </x:c>
      <x:c r="J1025" s="22" t="n">
        <x:f>YEAR(D1025)</x:f>
        <x:v>2022</x:v>
      </x:c>
      <x:c r="K1025" t="str">
        <x:f>IF(F1025&gt;200,"Large Order","Standard Order")</x:f>
        <x:v>Large Order</x:v>
      </x:c>
    </x:row>
    <x:row r="1026">
      <x:c r="A1026" t="str">
        <x:v>Dotty Strutley</x:v>
      </x:c>
      <x:c r="B1026" t="str">
        <x:v>UK</x:v>
      </x:c>
      <x:c r="C1026" t="str">
        <x:v>Caramel Stuffed Bars</x:v>
      </x:c>
      <x:c r="D1026" s="14" t="n">
        <x:v>44783</x:v>
      </x:c>
      <x:c r="E1026" s="16" t="n">
        <x:v>5768</x:v>
      </x:c>
      <x:c r="F1026" s="18" t="n">
        <x:v>235</x:v>
      </x:c>
      <x:c r="G1026" s="20" t="n">
        <x:f>IFERROR(E1026/F1026,0)</x:f>
        <x:v>24.54468085106383</x:v>
      </x:c>
      <x:c r="H1026" t="str">
        <x:f>TEXT(D1026,"mmm")</x:f>
        <x:v>Aug</x:v>
      </x:c>
      <x:c r="I1026" s="22" t="n">
        <x:f>MONTH(D1026)</x:f>
        <x:v>8</x:v>
      </x:c>
      <x:c r="J1026" s="22" t="n">
        <x:f>YEAR(D1026)</x:f>
        <x:v>2022</x:v>
      </x:c>
      <x:c r="K1026" t="str">
        <x:f>IF(F1026&gt;200,"Large Order","Standard Order")</x:f>
        <x:v>Large Order</x:v>
      </x:c>
    </x:row>
    <x:row r="1027">
      <x:c r="A1027" t="str">
        <x:v>Wilone O'Kielt</x:v>
      </x:c>
      <x:c r="B1027" t="str">
        <x:v>Australia</x:v>
      </x:c>
      <x:c r="C1027" t="str">
        <x:v>Smooth Silky Salty</x:v>
      </x:c>
      <x:c r="D1027" s="14" t="n">
        <x:v>44565</x:v>
      </x:c>
      <x:c r="E1027" s="16" t="n">
        <x:v>2226</x:v>
      </x:c>
      <x:c r="F1027" s="18" t="n">
        <x:v>46</x:v>
      </x:c>
      <x:c r="G1027" s="20" t="n">
        <x:f>IFERROR(E1027/F1027,0)</x:f>
        <x:v>48.391304347826086</x:v>
      </x:c>
      <x:c r="H1027" t="str">
        <x:f>TEXT(D1027,"mmm")</x:f>
        <x:v>Jan</x:v>
      </x:c>
      <x:c r="I1027" s="22" t="n">
        <x:f>MONTH(D1027)</x:f>
        <x:v>1</x:v>
      </x:c>
      <x:c r="J1027" s="22" t="n">
        <x:f>YEAR(D1027)</x:f>
        <x:v>2022</x:v>
      </x:c>
      <x:c r="K1027" t="str">
        <x:f>IF(F1027&gt;200,"Large Order","Standard Order")</x:f>
        <x:v>Standard Order</x:v>
      </x:c>
    </x:row>
    <x:row r="1028">
      <x:c r="A1028" t="str">
        <x:v>Andria Kimpton</x:v>
      </x:c>
      <x:c r="B1028" t="str">
        <x:v>Canada</x:v>
      </x:c>
      <x:c r="C1028" t="str">
        <x:v>70% Dark Bites</x:v>
      </x:c>
      <x:c r="D1028" s="14" t="n">
        <x:v>44659</x:v>
      </x:c>
      <x:c r="E1028" s="16" t="n">
        <x:v>10262</x:v>
      </x:c>
      <x:c r="F1028" s="18" t="n">
        <x:v>15</x:v>
      </x:c>
      <x:c r="G1028" s="20" t="n">
        <x:f>IFERROR(E1028/F1028,0)</x:f>
        <x:v>684.1333333333333</x:v>
      </x:c>
      <x:c r="H1028" t="str">
        <x:f>TEXT(D1028,"mmm")</x:f>
        <x:v>Apr</x:v>
      </x:c>
      <x:c r="I1028" s="22" t="n">
        <x:f>MONTH(D1028)</x:f>
        <x:v>4</x:v>
      </x:c>
      <x:c r="J1028" s="22" t="n">
        <x:f>YEAR(D1028)</x:f>
        <x:v>2022</x:v>
      </x:c>
      <x:c r="K1028" t="str">
        <x:f>IF(F1028&gt;200,"Large Order","Standard Order")</x:f>
        <x:v>Standard Order</x:v>
      </x:c>
    </x:row>
    <x:row r="1029">
      <x:c r="A1029" t="str">
        <x:v>Barr Faughny</x:v>
      </x:c>
      <x:c r="B1029" t="str">
        <x:v>UK</x:v>
      </x:c>
      <x:c r="C1029" t="str">
        <x:v>Milk Bars</x:v>
      </x:c>
      <x:c r="D1029" s="14" t="n">
        <x:v>44622</x:v>
      </x:c>
      <x:c r="E1029" s="16" t="n">
        <x:v>3864</x:v>
      </x:c>
      <x:c r="F1029" s="18" t="n">
        <x:v>430</x:v>
      </x:c>
      <x:c r="G1029" s="20" t="n">
        <x:f>IFERROR(E1029/F1029,0)</x:f>
        <x:v>8.986046511627906</x:v>
      </x:c>
      <x:c r="H1029" t="str">
        <x:f>TEXT(D1029,"mmm")</x:f>
        <x:v>Mar</x:v>
      </x:c>
      <x:c r="I1029" s="22" t="n">
        <x:f>MONTH(D1029)</x:f>
        <x:v>3</x:v>
      </x:c>
      <x:c r="J1029" s="22" t="n">
        <x:f>YEAR(D1029)</x:f>
        <x:v>2022</x:v>
      </x:c>
      <x:c r="K1029" t="str">
        <x:f>IF(F1029&gt;200,"Large Order","Standard Order")</x:f>
        <x:v>Large Order</x:v>
      </x:c>
    </x:row>
    <x:row r="1030">
      <x:c r="A1030" t="str">
        <x:v>Van Tuxwell</x:v>
      </x:c>
      <x:c r="B1030" t="str">
        <x:v>Canada</x:v>
      </x:c>
      <x:c r="C1030" t="str">
        <x:v>Drinking Coco</x:v>
      </x:c>
      <x:c r="D1030" s="14" t="n">
        <x:v>44727</x:v>
      </x:c>
      <x:c r="E1030" s="16" t="n">
        <x:v>4900</x:v>
      </x:c>
      <x:c r="F1030" s="18" t="n">
        <x:v>709</x:v>
      </x:c>
      <x:c r="G1030" s="20" t="n">
        <x:f>IFERROR(E1030/F1030,0)</x:f>
        <x:v>6.91114245416079</x:v>
      </x:c>
      <x:c r="H1030" t="str">
        <x:f>TEXT(D1030,"mmm")</x:f>
        <x:v>Jun</x:v>
      </x:c>
      <x:c r="I1030" s="22" t="n">
        <x:f>MONTH(D1030)</x:f>
        <x:v>6</x:v>
      </x:c>
      <x:c r="J1030" s="22" t="n">
        <x:f>YEAR(D1030)</x:f>
        <x:v>2022</x:v>
      </x:c>
      <x:c r="K1030" t="str">
        <x:f>IF(F1030&gt;200,"Large Order","Standard Order")</x:f>
        <x:v>Large Order</x:v>
      </x:c>
    </x:row>
    <x:row r="1031">
      <x:c r="A1031" t="str">
        <x:v>Jehu Rudeforth</x:v>
      </x:c>
      <x:c r="B1031" t="str">
        <x:v>Australia</x:v>
      </x:c>
      <x:c r="C1031" t="str">
        <x:v>After Nines</x:v>
      </x:c>
      <x:c r="D1031" s="14" t="n">
        <x:v>44606</x:v>
      </x:c>
      <x:c r="E1031" s="16" t="n">
        <x:v>5250</x:v>
      </x:c>
      <x:c r="F1031" s="18" t="n">
        <x:v>47</x:v>
      </x:c>
      <x:c r="G1031" s="20" t="n">
        <x:f>IFERROR(E1031/F1031,0)</x:f>
        <x:v>111.70212765957447</x:v>
      </x:c>
      <x:c r="H1031" t="str">
        <x:f>TEXT(D1031,"mmm")</x:f>
        <x:v>Feb</x:v>
      </x:c>
      <x:c r="I1031" s="22" t="n">
        <x:f>MONTH(D1031)</x:f>
        <x:v>2</x:v>
      </x:c>
      <x:c r="J1031" s="22" t="n">
        <x:f>YEAR(D1031)</x:f>
        <x:v>2022</x:v>
      </x:c>
      <x:c r="K1031" t="str">
        <x:f>IF(F1031&gt;200,"Large Order","Standard Order")</x:f>
        <x:v>Standard Order</x:v>
      </x:c>
    </x:row>
    <x:row r="1032">
      <x:c r="A1032" t="str">
        <x:v>Husein Augar</x:v>
      </x:c>
      <x:c r="B1032" t="str">
        <x:v>UK</x:v>
      </x:c>
      <x:c r="C1032" t="str">
        <x:v>After Nines</x:v>
      </x:c>
      <x:c r="D1032" s="14" t="n">
        <x:v>44747</x:v>
      </x:c>
      <x:c r="E1032" s="16" t="n">
        <x:v>3507</x:v>
      </x:c>
      <x:c r="F1032" s="18" t="n">
        <x:v>380</x:v>
      </x:c>
      <x:c r="G1032" s="20" t="n">
        <x:f>IFERROR(E1032/F1032,0)</x:f>
        <x:v>9.228947368421053</x:v>
      </x:c>
      <x:c r="H1032" t="str">
        <x:f>TEXT(D1032,"mmm")</x:f>
        <x:v>Jul</x:v>
      </x:c>
      <x:c r="I1032" s="22" t="n">
        <x:f>MONTH(D1032)</x:f>
        <x:v>7</x:v>
      </x:c>
      <x:c r="J1032" s="22" t="n">
        <x:f>YEAR(D1032)</x:f>
        <x:v>2022</x:v>
      </x:c>
      <x:c r="K1032" t="str">
        <x:f>IF(F1032&gt;200,"Large Order","Standard Order")</x:f>
        <x:v>Large Order</x:v>
      </x:c>
    </x:row>
    <x:row r="1033">
      <x:c r="A1033" t="str">
        <x:v>Barr Faughny</x:v>
      </x:c>
      <x:c r="B1033" t="str">
        <x:v>India</x:v>
      </x:c>
      <x:c r="C1033" t="str">
        <x:v>Mint Chip Choco</x:v>
      </x:c>
      <x:c r="D1033" s="14" t="n">
        <x:v>44573</x:v>
      </x:c>
      <x:c r="E1033" s="16" t="n">
        <x:v>7413</x:v>
      </x:c>
      <x:c r="F1033" s="18" t="n">
        <x:v>465</x:v>
      </x:c>
      <x:c r="G1033" s="20" t="n">
        <x:f>IFERROR(E1033/F1033,0)</x:f>
        <x:v>15.941935483870967</x:v>
      </x:c>
      <x:c r="H1033" t="str">
        <x:f>TEXT(D1033,"mmm")</x:f>
        <x:v>Jan</x:v>
      </x:c>
      <x:c r="I1033" s="22" t="n">
        <x:f>MONTH(D1033)</x:f>
        <x:v>1</x:v>
      </x:c>
      <x:c r="J1033" s="22" t="n">
        <x:f>YEAR(D1033)</x:f>
        <x:v>2022</x:v>
      </x:c>
      <x:c r="K1033" t="str">
        <x:f>IF(F1033&gt;200,"Large Order","Standard Order")</x:f>
        <x:v>Large Order</x:v>
      </x:c>
    </x:row>
    <x:row r="1034">
      <x:c r="A1034" t="str">
        <x:v>Curtice Advani</x:v>
      </x:c>
      <x:c r="B1034" t="str">
        <x:v>India</x:v>
      </x:c>
      <x:c r="C1034" t="str">
        <x:v>Mint Chip Choco</x:v>
      </x:c>
      <x:c r="D1034" s="14" t="n">
        <x:v>44623</x:v>
      </x:c>
      <x:c r="E1034" s="16" t="n">
        <x:v>8155</x:v>
      </x:c>
      <x:c r="F1034" s="18" t="n">
        <x:v>96</x:v>
      </x:c>
      <x:c r="G1034" s="20" t="n">
        <x:f>IFERROR(E1034/F1034,0)</x:f>
        <x:v>84.94791666666667</x:v>
      </x:c>
      <x:c r="H1034" t="str">
        <x:f>TEXT(D1034,"mmm")</x:f>
        <x:v>Mar</x:v>
      </x:c>
      <x:c r="I1034" s="22" t="n">
        <x:f>MONTH(D1034)</x:f>
        <x:v>3</x:v>
      </x:c>
      <x:c r="J1034" s="22" t="n">
        <x:f>YEAR(D1034)</x:f>
        <x:v>2022</x:v>
      </x:c>
      <x:c r="K1034" t="str">
        <x:f>IF(F1034&gt;200,"Large Order","Standard Order")</x:f>
        <x:v>Standard Order</x:v>
      </x:c>
    </x:row>
    <x:row r="1035">
      <x:c r="A1035" t="str">
        <x:v>Jehu Rudeforth</x:v>
      </x:c>
      <x:c r="B1035" t="str">
        <x:v>New Zealand</x:v>
      </x:c>
      <x:c r="C1035" t="str">
        <x:v>Milk Bars</x:v>
      </x:c>
      <x:c r="D1035" s="14" t="n">
        <x:v>44699</x:v>
      </x:c>
      <x:c r="E1035" s="16" t="n">
        <x:v>2478</x:v>
      </x:c>
      <x:c r="F1035" s="18" t="n">
        <x:v>188</x:v>
      </x:c>
      <x:c r="G1035" s="20" t="n">
        <x:f>IFERROR(E1035/F1035,0)</x:f>
        <x:v>13.180851063829786</x:v>
      </x:c>
      <x:c r="H1035" t="str">
        <x:f>TEXT(D1035,"mmm")</x:f>
        <x:v>May</x:v>
      </x:c>
      <x:c r="I1035" s="22" t="n">
        <x:f>MONTH(D1035)</x:f>
        <x:v>5</x:v>
      </x:c>
      <x:c r="J1035" s="22" t="n">
        <x:f>YEAR(D1035)</x:f>
        <x:v>2022</x:v>
      </x:c>
      <x:c r="K1035" t="str">
        <x:f>IF(F1035&gt;200,"Large Order","Standard Order")</x:f>
        <x:v>Standard Order</x:v>
      </x:c>
    </x:row>
    <x:row r="1036">
      <x:c r="A1036" t="str">
        <x:v>Gunar Cockshoot</x:v>
      </x:c>
      <x:c r="B1036" t="str">
        <x:v>India</x:v>
      </x:c>
      <x:c r="C1036" t="str">
        <x:v>Caramel Stuffed Bars</x:v>
      </x:c>
      <x:c r="D1036" s="14" t="n">
        <x:v>44770</x:v>
      </x:c>
      <x:c r="E1036" s="16" t="n">
        <x:v>2471</x:v>
      </x:c>
      <x:c r="F1036" s="18" t="n">
        <x:v>202</x:v>
      </x:c>
      <x:c r="G1036" s="20" t="n">
        <x:f>IFERROR(E1036/F1036,0)</x:f>
        <x:v>12.232673267326733</x:v>
      </x:c>
      <x:c r="H1036" t="str">
        <x:f>TEXT(D1036,"mmm")</x:f>
        <x:v>Jul</x:v>
      </x:c>
      <x:c r="I1036" s="22" t="n">
        <x:f>MONTH(D1036)</x:f>
        <x:v>7</x:v>
      </x:c>
      <x:c r="J1036" s="22" t="n">
        <x:f>YEAR(D1036)</x:f>
        <x:v>2022</x:v>
      </x:c>
      <x:c r="K1036" t="str">
        <x:f>IF(F1036&gt;200,"Large Order","Standard Order")</x:f>
        <x:v>Large Order</x:v>
      </x:c>
    </x:row>
    <x:row r="1037">
      <x:c r="A1037" t="str">
        <x:v>Curtice Advani</x:v>
      </x:c>
      <x:c r="B1037" t="str">
        <x:v>UK</x:v>
      </x:c>
      <x:c r="C1037" t="str">
        <x:v>Manuka Honey Choco</x:v>
      </x:c>
      <x:c r="D1037" s="14" t="n">
        <x:v>44599</x:v>
      </x:c>
      <x:c r="E1037" s="16" t="n">
        <x:v>1666</x:v>
      </x:c>
      <x:c r="F1037" s="18" t="n">
        <x:v>106</x:v>
      </x:c>
      <x:c r="G1037" s="20" t="n">
        <x:f>IFERROR(E1037/F1037,0)</x:f>
        <x:v>15.716981132075471</x:v>
      </x:c>
      <x:c r="H1037" t="str">
        <x:f>TEXT(D1037,"mmm")</x:f>
        <x:v>Feb</x:v>
      </x:c>
      <x:c r="I1037" s="22" t="n">
        <x:f>MONTH(D1037)</x:f>
        <x:v>2</x:v>
      </x:c>
      <x:c r="J1037" s="22" t="n">
        <x:f>YEAR(D1037)</x:f>
        <x:v>2022</x:v>
      </x:c>
      <x:c r="K1037" t="str">
        <x:f>IF(F1037&gt;200,"Large Order","Standard Order")</x:f>
        <x:v>Standard Order</x:v>
      </x:c>
    </x:row>
    <x:row r="1038">
      <x:c r="A1038" t="str">
        <x:v>Andria Kimpton</x:v>
      </x:c>
      <x:c r="B1038" t="str">
        <x:v>India</x:v>
      </x:c>
      <x:c r="C1038" t="str">
        <x:v>Orange Choco</x:v>
      </x:c>
      <x:c r="D1038" s="14" t="n">
        <x:v>44711</x:v>
      </x:c>
      <x:c r="E1038" s="16" t="n">
        <x:v>301</x:v>
      </x:c>
      <x:c r="F1038" s="18" t="n">
        <x:v>421</x:v>
      </x:c>
      <x:c r="G1038" s="20" t="n">
        <x:f>IFERROR(E1038/F1038,0)</x:f>
        <x:v>0.7149643705463183</x:v>
      </x:c>
      <x:c r="H1038" t="str">
        <x:f>TEXT(D1038,"mmm")</x:f>
        <x:v>May</x:v>
      </x:c>
      <x:c r="I1038" s="22" t="n">
        <x:f>MONTH(D1038)</x:f>
        <x:v>5</x:v>
      </x:c>
      <x:c r="J1038" s="22" t="n">
        <x:f>YEAR(D1038)</x:f>
        <x:v>2022</x:v>
      </x:c>
      <x:c r="K1038" t="str">
        <x:f>IF(F1038&gt;200,"Large Order","Standard Order")</x:f>
        <x:v>Large Order</x:v>
      </x:c>
    </x:row>
    <x:row r="1039">
      <x:c r="A1039" t="str">
        <x:v>Mallorie Waber</x:v>
      </x:c>
      <x:c r="B1039" t="str">
        <x:v>Australia</x:v>
      </x:c>
      <x:c r="C1039" t="str">
        <x:v>Raspberry Choco</x:v>
      </x:c>
      <x:c r="D1039" s="14" t="n">
        <x:v>44676</x:v>
      </x:c>
      <x:c r="E1039" s="16" t="n">
        <x:v>8400</x:v>
      </x:c>
      <x:c r="F1039" s="18" t="n">
        <x:v>27</x:v>
      </x:c>
      <x:c r="G1039" s="20" t="n">
        <x:f>IFERROR(E1039/F1039,0)</x:f>
        <x:v>311.1111111111111</x:v>
      </x:c>
      <x:c r="H1039" t="str">
        <x:f>TEXT(D1039,"mmm")</x:f>
        <x:v>Apr</x:v>
      </x:c>
      <x:c r="I1039" s="22" t="n">
        <x:f>MONTH(D1039)</x:f>
        <x:v>4</x:v>
      </x:c>
      <x:c r="J1039" s="22" t="n">
        <x:f>YEAR(D1039)</x:f>
        <x:v>2022</x:v>
      </x:c>
      <x:c r="K1039" t="str">
        <x:f>IF(F1039&gt;200,"Large Order","Standard Order")</x:f>
        <x:v>Standard Order</x:v>
      </x:c>
    </x:row>
    <x:row r="1040">
      <x:c r="A1040" t="str">
        <x:v>Beverie Moffet</x:v>
      </x:c>
      <x:c r="B1040" t="str">
        <x:v>Canada</x:v>
      </x:c>
      <x:c r="C1040" t="str">
        <x:v>85% Dark Bars</x:v>
      </x:c>
      <x:c r="D1040" s="14" t="n">
        <x:v>44608</x:v>
      </x:c>
      <x:c r="E1040" s="16" t="n">
        <x:v>6139</x:v>
      </x:c>
      <x:c r="F1040" s="18" t="n">
        <x:v>45</x:v>
      </x:c>
      <x:c r="G1040" s="20" t="n">
        <x:f>IFERROR(E1040/F1040,0)</x:f>
        <x:v>136.42222222222222</x:v>
      </x:c>
      <x:c r="H1040" t="str">
        <x:f>TEXT(D1040,"mmm")</x:f>
        <x:v>Feb</x:v>
      </x:c>
      <x:c r="I1040" s="22" t="n">
        <x:f>MONTH(D1040)</x:f>
        <x:v>2</x:v>
      </x:c>
      <x:c r="J1040" s="22" t="n">
        <x:f>YEAR(D1040)</x:f>
        <x:v>2022</x:v>
      </x:c>
      <x:c r="K1040" t="str">
        <x:f>IF(F1040&gt;200,"Large Order","Standard Order")</x:f>
        <x:v>Standard Order</x:v>
      </x:c>
    </x:row>
    <x:row r="1041">
      <x:c r="A1041" t="str">
        <x:v>Kelci Walkden</x:v>
      </x:c>
      <x:c r="B1041" t="str">
        <x:v>Australia</x:v>
      </x:c>
      <x:c r="C1041" t="str">
        <x:v>Drinking Coco</x:v>
      </x:c>
      <x:c r="D1041" s="14" t="n">
        <x:v>44685</x:v>
      </x:c>
      <x:c r="E1041" s="16" t="n">
        <x:v>1288</x:v>
      </x:c>
      <x:c r="F1041" s="18" t="n">
        <x:v>60</x:v>
      </x:c>
      <x:c r="G1041" s="20" t="n">
        <x:f>IFERROR(E1041/F1041,0)</x:f>
        <x:v>21.466666666666665</x:v>
      </x:c>
      <x:c r="H1041" t="str">
        <x:f>TEXT(D1041,"mmm")</x:f>
        <x:v>May</x:v>
      </x:c>
      <x:c r="I1041" s="22" t="n">
        <x:f>MONTH(D1041)</x:f>
        <x:v>5</x:v>
      </x:c>
      <x:c r="J1041" s="22" t="n">
        <x:f>YEAR(D1041)</x:f>
        <x:v>2022</x:v>
      </x:c>
      <x:c r="K1041" t="str">
        <x:f>IF(F1041&gt;200,"Large Order","Standard Order")</x:f>
        <x:v>Standard Order</x:v>
      </x:c>
    </x:row>
    <x:row r="1042">
      <x:c r="A1042" t="str">
        <x:v>Van Tuxwell</x:v>
      </x:c>
      <x:c r="B1042" t="str">
        <x:v>Canada</x:v>
      </x:c>
      <x:c r="C1042" t="str">
        <x:v>70% Dark Bites</x:v>
      </x:c>
      <x:c r="D1042" s="14" t="n">
        <x:v>44714</x:v>
      </x:c>
      <x:c r="E1042" s="16" t="n">
        <x:v>7077</x:v>
      </x:c>
      <x:c r="F1042" s="18" t="n">
        <x:v>77</x:v>
      </x:c>
      <x:c r="G1042" s="20" t="n">
        <x:f>IFERROR(E1042/F1042,0)</x:f>
        <x:v>91.9090909090909</x:v>
      </x:c>
      <x:c r="H1042" t="str">
        <x:f>TEXT(D1042,"mmm")</x:f>
        <x:v>Jun</x:v>
      </x:c>
      <x:c r="I1042" s="22" t="n">
        <x:f>MONTH(D1042)</x:f>
        <x:v>6</x:v>
      </x:c>
      <x:c r="J1042" s="22" t="n">
        <x:f>YEAR(D1042)</x:f>
        <x:v>2022</x:v>
      </x:c>
      <x:c r="K1042" t="str">
        <x:f>IF(F1042&gt;200,"Large Order","Standard Order")</x:f>
        <x:v>Standard Order</x:v>
      </x:c>
    </x:row>
    <x:row r="1043">
      <x:c r="A1043" t="str">
        <x:v>Dennison Crosswaite</x:v>
      </x:c>
      <x:c r="B1043" t="str">
        <x:v>USA</x:v>
      </x:c>
      <x:c r="C1043" t="str">
        <x:v>Caramel Stuffed Bars</x:v>
      </x:c>
      <x:c r="D1043" s="14" t="n">
        <x:v>44753</x:v>
      </x:c>
      <x:c r="E1043" s="16" t="n">
        <x:v>2317</x:v>
      </x:c>
      <x:c r="F1043" s="18" t="n">
        <x:v>464</x:v>
      </x:c>
      <x:c r="G1043" s="20" t="n">
        <x:f>IFERROR(E1043/F1043,0)</x:f>
        <x:v>4.993534482758621</x:v>
      </x:c>
      <x:c r="H1043" t="str">
        <x:f>TEXT(D1043,"mmm")</x:f>
        <x:v>Jul</x:v>
      </x:c>
      <x:c r="I1043" s="22" t="n">
        <x:f>MONTH(D1043)</x:f>
        <x:v>7</x:v>
      </x:c>
      <x:c r="J1043" s="22" t="n">
        <x:f>YEAR(D1043)</x:f>
        <x:v>2022</x:v>
      </x:c>
      <x:c r="K1043" t="str">
        <x:f>IF(F1043&gt;200,"Large Order","Standard Order")</x:f>
        <x:v>Large Order</x:v>
      </x:c>
    </x:row>
    <x:row r="1044">
      <x:c r="A1044" t="str">
        <x:v>Beverie Moffet</x:v>
      </x:c>
      <x:c r="B1044" t="str">
        <x:v>New Zealand</x:v>
      </x:c>
      <x:c r="C1044" t="str">
        <x:v>Spicy Special Slims</x:v>
      </x:c>
      <x:c r="D1044" s="14" t="n">
        <x:v>44719</x:v>
      </x:c>
      <x:c r="E1044" s="16" t="n">
        <x:v>63</x:v>
      </x:c>
      <x:c r="F1044" s="18" t="n">
        <x:v>60</x:v>
      </x:c>
      <x:c r="G1044" s="20" t="n">
        <x:f>IFERROR(E1044/F1044,0)</x:f>
        <x:v>1.05</x:v>
      </x:c>
      <x:c r="H1044" t="str">
        <x:f>TEXT(D1044,"mmm")</x:f>
        <x:v>Jun</x:v>
      </x:c>
      <x:c r="I1044" s="22" t="n">
        <x:f>MONTH(D1044)</x:f>
        <x:v>6</x:v>
      </x:c>
      <x:c r="J1044" s="22" t="n">
        <x:f>YEAR(D1044)</x:f>
        <x:v>2022</x:v>
      </x:c>
      <x:c r="K1044" t="str">
        <x:f>IF(F1044&gt;200,"Large Order","Standard Order")</x:f>
        <x:v>Standard Order</x:v>
      </x:c>
    </x:row>
    <x:row r="1045">
      <x:c r="A1045" t="str">
        <x:v>Jan Morforth</x:v>
      </x:c>
      <x:c r="B1045" t="str">
        <x:v>UK</x:v>
      </x:c>
      <x:c r="C1045" t="str">
        <x:v>Almond Choco</x:v>
      </x:c>
      <x:c r="D1045" s="14" t="n">
        <x:v>44748</x:v>
      </x:c>
      <x:c r="E1045" s="16" t="n">
        <x:v>9744</x:v>
      </x:c>
      <x:c r="F1045" s="18" t="n">
        <x:v>157</x:v>
      </x:c>
      <x:c r="G1045" s="20" t="n">
        <x:f>IFERROR(E1045/F1045,0)</x:f>
        <x:v>62.06369426751592</x:v>
      </x:c>
      <x:c r="H1045" t="str">
        <x:f>TEXT(D1045,"mmm")</x:f>
        <x:v>Jul</x:v>
      </x:c>
      <x:c r="I1045" s="22" t="n">
        <x:f>MONTH(D1045)</x:f>
        <x:v>7</x:v>
      </x:c>
      <x:c r="J1045" s="22" t="n">
        <x:f>YEAR(D1045)</x:f>
        <x:v>2022</x:v>
      </x:c>
      <x:c r="K1045" t="str">
        <x:f>IF(F1045&gt;200,"Large Order","Standard Order")</x:f>
        <x:v>Standard Order</x:v>
      </x:c>
    </x:row>
    <x:row r="1046">
      <x:c r="A1046" t="str">
        <x:v>Husein Augar</x:v>
      </x:c>
      <x:c r="B1046" t="str">
        <x:v>India</x:v>
      </x:c>
      <x:c r="C1046" t="str">
        <x:v>Raspberry Choco</x:v>
      </x:c>
      <x:c r="D1046" s="14" t="n">
        <x:v>44727</x:v>
      </x:c>
      <x:c r="E1046" s="16" t="n">
        <x:v>9954</x:v>
      </x:c>
      <x:c r="F1046" s="18" t="n">
        <x:v>154</x:v>
      </x:c>
      <x:c r="G1046" s="20" t="n">
        <x:f>IFERROR(E1046/F1046,0)</x:f>
        <x:v>64.63636363636364</x:v>
      </x:c>
      <x:c r="H1046" t="str">
        <x:f>TEXT(D1046,"mmm")</x:f>
        <x:v>Jun</x:v>
      </x:c>
      <x:c r="I1046" s="22" t="n">
        <x:f>MONTH(D1046)</x:f>
        <x:v>6</x:v>
      </x:c>
      <x:c r="J1046" s="22" t="n">
        <x:f>YEAR(D1046)</x:f>
        <x:v>2022</x:v>
      </x:c>
      <x:c r="K1046" t="str">
        <x:f>IF(F1046&gt;200,"Large Order","Standard Order")</x:f>
        <x:v>Standard Order</x:v>
      </x:c>
    </x:row>
    <x:row r="1047">
      <x:c r="A1047" t="str">
        <x:v>Dotty Strutley</x:v>
      </x:c>
      <x:c r="B1047" t="str">
        <x:v>India</x:v>
      </x:c>
      <x:c r="C1047" t="str">
        <x:v>Mint Chip Choco</x:v>
      </x:c>
      <x:c r="D1047" s="14" t="n">
        <x:v>44665</x:v>
      </x:c>
      <x:c r="E1047" s="16" t="n">
        <x:v>1260</x:v>
      </x:c>
      <x:c r="F1047" s="18" t="n">
        <x:v>239</x:v>
      </x:c>
      <x:c r="G1047" s="20" t="n">
        <x:f>IFERROR(E1047/F1047,0)</x:f>
        <x:v>5.2719665271966525</x:v>
      </x:c>
      <x:c r="H1047" t="str">
        <x:f>TEXT(D1047,"mmm")</x:f>
        <x:v>Apr</x:v>
      </x:c>
      <x:c r="I1047" s="22" t="n">
        <x:f>MONTH(D1047)</x:f>
        <x:v>4</x:v>
      </x:c>
      <x:c r="J1047" s="22" t="n">
        <x:f>YEAR(D1047)</x:f>
        <x:v>2022</x:v>
      </x:c>
      <x:c r="K1047" t="str">
        <x:f>IF(F1047&gt;200,"Large Order","Standard Order")</x:f>
        <x:v>Large Order</x:v>
      </x:c>
    </x:row>
    <x:row r="1048">
      <x:c r="A1048" t="str">
        <x:v>Camilla Castle</x:v>
      </x:c>
      <x:c r="B1048" t="str">
        <x:v>India</x:v>
      </x:c>
      <x:c r="C1048" t="str">
        <x:v>Drinking Coco</x:v>
      </x:c>
      <x:c r="D1048" s="14" t="n">
        <x:v>44781</x:v>
      </x:c>
      <x:c r="E1048" s="16" t="n">
        <x:v>469</x:v>
      </x:c>
      <x:c r="F1048" s="18" t="n">
        <x:v>163</x:v>
      </x:c>
      <x:c r="G1048" s="20" t="n">
        <x:f>IFERROR(E1048/F1048,0)</x:f>
        <x:v>2.8773006134969323</x:v>
      </x:c>
      <x:c r="H1048" t="str">
        <x:f>TEXT(D1048,"mmm")</x:f>
        <x:v>Aug</x:v>
      </x:c>
      <x:c r="I1048" s="22" t="n">
        <x:f>MONTH(D1048)</x:f>
        <x:v>8</x:v>
      </x:c>
      <x:c r="J1048" s="22" t="n">
        <x:f>YEAR(D1048)</x:f>
        <x:v>2022</x:v>
      </x:c>
      <x:c r="K1048" t="str">
        <x:f>IF(F1048&gt;200,"Large Order","Standard Order")</x:f>
        <x:v>Standard Order</x:v>
      </x:c>
    </x:row>
    <x:row r="1049">
      <x:c r="A1049" t="str">
        <x:v>Marney O'Breen</x:v>
      </x:c>
      <x:c r="B1049" t="str">
        <x:v>UK</x:v>
      </x:c>
      <x:c r="C1049" t="str">
        <x:v>Drinking Coco</x:v>
      </x:c>
      <x:c r="D1049" s="14" t="n">
        <x:v>44649</x:v>
      </x:c>
      <x:c r="E1049" s="16" t="n">
        <x:v>973</x:v>
      </x:c>
      <x:c r="F1049" s="18" t="n">
        <x:v>28</x:v>
      </x:c>
      <x:c r="G1049" s="20" t="n">
        <x:f>IFERROR(E1049/F1049,0)</x:f>
        <x:v>34.75</x:v>
      </x:c>
      <x:c r="H1049" t="str">
        <x:f>TEXT(D1049,"mmm")</x:f>
        <x:v>Mar</x:v>
      </x:c>
      <x:c r="I1049" s="22" t="n">
        <x:f>MONTH(D1049)</x:f>
        <x:v>3</x:v>
      </x:c>
      <x:c r="J1049" s="22" t="n">
        <x:f>YEAR(D1049)</x:f>
        <x:v>2022</x:v>
      </x:c>
      <x:c r="K1049" t="str">
        <x:f>IF(F1049&gt;200,"Large Order","Standard Order")</x:f>
        <x:v>Standard Order</x:v>
      </x:c>
    </x:row>
    <x:row r="1050">
      <x:c r="A1050" t="str">
        <x:v>Roddy Speechley</x:v>
      </x:c>
      <x:c r="B1050" t="str">
        <x:v>Australia</x:v>
      </x:c>
      <x:c r="C1050" t="str">
        <x:v>Organic Choco Syrup</x:v>
      </x:c>
      <x:c r="D1050" s="14" t="n">
        <x:v>44746</x:v>
      </x:c>
      <x:c r="E1050" s="16" t="n">
        <x:v>3647</x:v>
      </x:c>
      <x:c r="F1050" s="18" t="n">
        <x:v>76</x:v>
      </x:c>
      <x:c r="G1050" s="20" t="n">
        <x:f>IFERROR(E1050/F1050,0)</x:f>
        <x:v>47.98684210526316</x:v>
      </x:c>
      <x:c r="H1050" t="str">
        <x:f>TEXT(D1050,"mmm")</x:f>
        <x:v>Jul</x:v>
      </x:c>
      <x:c r="I1050" s="22" t="n">
        <x:f>MONTH(D1050)</x:f>
        <x:v>7</x:v>
      </x:c>
      <x:c r="J1050" s="22" t="n">
        <x:f>YEAR(D1050)</x:f>
        <x:v>2022</x:v>
      </x:c>
      <x:c r="K1050" t="str">
        <x:f>IF(F1050&gt;200,"Large Order","Standard Order")</x:f>
        <x:v>Standard Order</x:v>
      </x:c>
    </x:row>
    <x:row r="1051">
      <x:c r="A1051" t="str">
        <x:v>Ches Bonnell</x:v>
      </x:c>
      <x:c r="B1051" t="str">
        <x:v>India</x:v>
      </x:c>
      <x:c r="C1051" t="str">
        <x:v>99% Dark &amp; Pure</x:v>
      </x:c>
      <x:c r="D1051" s="14" t="n">
        <x:v>44608</x:v>
      </x:c>
      <x:c r="E1051" s="16" t="n">
        <x:v>455</x:v>
      </x:c>
      <x:c r="F1051" s="18" t="n">
        <x:v>96</x:v>
      </x:c>
      <x:c r="G1051" s="20" t="n">
        <x:f>IFERROR(E1051/F1051,0)</x:f>
        <x:v>4.739583333333333</x:v>
      </x:c>
      <x:c r="H1051" t="str">
        <x:f>TEXT(D1051,"mmm")</x:f>
        <x:v>Feb</x:v>
      </x:c>
      <x:c r="I1051" s="22" t="n">
        <x:f>MONTH(D1051)</x:f>
        <x:v>2</x:v>
      </x:c>
      <x:c r="J1051" s="22" t="n">
        <x:f>YEAR(D1051)</x:f>
        <x:v>2022</x:v>
      </x:c>
      <x:c r="K1051" t="str">
        <x:f>IF(F1051&gt;200,"Large Order","Standard Order")</x:f>
        <x:v>Standard Order</x:v>
      </x:c>
    </x:row>
    <x:row r="1052">
      <x:c r="A1052" t="str">
        <x:v>Rafaelita Blaksland</x:v>
      </x:c>
      <x:c r="B1052" t="str">
        <x:v>Canada</x:v>
      </x:c>
      <x:c r="C1052" t="str">
        <x:v>Spicy Special Slims</x:v>
      </x:c>
      <x:c r="D1052" s="14" t="n">
        <x:v>44683</x:v>
      </x:c>
      <x:c r="E1052" s="16" t="n">
        <x:v>2520</x:v>
      </x:c>
      <x:c r="F1052" s="18" t="n">
        <x:v>156</x:v>
      </x:c>
      <x:c r="G1052" s="20" t="n">
        <x:f>IFERROR(E1052/F1052,0)</x:f>
        <x:v>16.153846153846153</x:v>
      </x:c>
      <x:c r="H1052" t="str">
        <x:f>TEXT(D1052,"mmm")</x:f>
        <x:v>May</x:v>
      </x:c>
      <x:c r="I1052" s="22" t="n">
        <x:f>MONTH(D1052)</x:f>
        <x:v>5</x:v>
      </x:c>
      <x:c r="J1052" s="22" t="n">
        <x:f>YEAR(D1052)</x:f>
        <x:v>2022</x:v>
      </x:c>
      <x:c r="K1052" t="str">
        <x:f>IF(F1052&gt;200,"Large Order","Standard Order")</x:f>
        <x:v>Standard Order</x:v>
      </x:c>
    </x:row>
    <x:row r="1053">
      <x:c r="A1053" t="str">
        <x:v>Van Tuxwell</x:v>
      </x:c>
      <x:c r="B1053" t="str">
        <x:v>India</x:v>
      </x:c>
      <x:c r="C1053" t="str">
        <x:v>Eclairs</x:v>
      </x:c>
      <x:c r="D1053" s="14" t="n">
        <x:v>44763</x:v>
      </x:c>
      <x:c r="E1053" s="16" t="n">
        <x:v>10500</x:v>
      </x:c>
      <x:c r="F1053" s="18" t="n">
        <x:v>106</x:v>
      </x:c>
      <x:c r="G1053" s="20" t="n">
        <x:f>IFERROR(E1053/F1053,0)</x:f>
        <x:v>99.05660377358491</x:v>
      </x:c>
      <x:c r="H1053" t="str">
        <x:f>TEXT(D1053,"mmm")</x:f>
        <x:v>Jul</x:v>
      </x:c>
      <x:c r="I1053" s="22" t="n">
        <x:f>MONTH(D1053)</x:f>
        <x:v>7</x:v>
      </x:c>
      <x:c r="J1053" s="22" t="n">
        <x:f>YEAR(D1053)</x:f>
        <x:v>2022</x:v>
      </x:c>
      <x:c r="K1053" t="str">
        <x:f>IF(F1053&gt;200,"Large Order","Standard Order")</x:f>
        <x:v>Standard Order</x:v>
      </x:c>
    </x:row>
    <x:row r="1054">
      <x:c r="A1054" t="str">
        <x:v>Gunar Cockshoot</x:v>
      </x:c>
      <x:c r="B1054" t="str">
        <x:v>Australia</x:v>
      </x:c>
      <x:c r="C1054" t="str">
        <x:v>99% Dark &amp; Pure</x:v>
      </x:c>
      <x:c r="D1054" s="14" t="n">
        <x:v>44791</x:v>
      </x:c>
      <x:c r="E1054" s="16" t="n">
        <x:v>7952</x:v>
      </x:c>
      <x:c r="F1054" s="18" t="n">
        <x:v>235</x:v>
      </x:c>
      <x:c r="G1054" s="20" t="n">
        <x:f>IFERROR(E1054/F1054,0)</x:f>
        <x:v>33.838297872340426</x:v>
      </x:c>
      <x:c r="H1054" t="str">
        <x:f>TEXT(D1054,"mmm")</x:f>
        <x:v>Aug</x:v>
      </x:c>
      <x:c r="I1054" s="22" t="n">
        <x:f>MONTH(D1054)</x:f>
        <x:v>8</x:v>
      </x:c>
      <x:c r="J1054" s="22" t="n">
        <x:f>YEAR(D1054)</x:f>
        <x:v>2022</x:v>
      </x:c>
      <x:c r="K1054" t="str">
        <x:f>IF(F1054&gt;200,"Large Order","Standard Order")</x:f>
        <x:v>Large Order</x:v>
      </x:c>
    </x:row>
    <x:row r="1055">
      <x:c r="A1055" t="str">
        <x:v>Kaine Padly</x:v>
      </x:c>
      <x:c r="B1055" t="str">
        <x:v>USA</x:v>
      </x:c>
      <x:c r="C1055" t="str">
        <x:v>85% Dark Bars</x:v>
      </x:c>
      <x:c r="D1055" s="14" t="n">
        <x:v>44734</x:v>
      </x:c>
      <x:c r="E1055" s="16" t="n">
        <x:v>483</x:v>
      </x:c>
      <x:c r="F1055" s="18" t="n">
        <x:v>259</x:v>
      </x:c>
      <x:c r="G1055" s="20" t="n">
        <x:f>IFERROR(E1055/F1055,0)</x:f>
        <x:v>1.864864864864865</x:v>
      </x:c>
      <x:c r="H1055" t="str">
        <x:f>TEXT(D1055,"mmm")</x:f>
        <x:v>Jun</x:v>
      </x:c>
      <x:c r="I1055" s="22" t="n">
        <x:f>MONTH(D1055)</x:f>
        <x:v>6</x:v>
      </x:c>
      <x:c r="J1055" s="22" t="n">
        <x:f>YEAR(D1055)</x:f>
        <x:v>2022</x:v>
      </x:c>
      <x:c r="K1055" t="str">
        <x:f>IF(F1055&gt;200,"Large Order","Standard Order")</x:f>
        <x:v>Large Order</x:v>
      </x:c>
    </x:row>
    <x:row r="1056">
      <x:c r="A1056" t="str">
        <x:v>Camilla Castle</x:v>
      </x:c>
      <x:c r="B1056" t="str">
        <x:v>UK</x:v>
      </x:c>
      <x:c r="C1056" t="str">
        <x:v>Peanut Butter Cubes</x:v>
      </x:c>
      <x:c r="D1056" s="14" t="n">
        <x:v>44761</x:v>
      </x:c>
      <x:c r="E1056" s="16" t="n">
        <x:v>4872</x:v>
      </x:c>
      <x:c r="F1056" s="18" t="n">
        <x:v>126</x:v>
      </x:c>
      <x:c r="G1056" s="20" t="n">
        <x:f>IFERROR(E1056/F1056,0)</x:f>
        <x:v>38.666666666666664</x:v>
      </x:c>
      <x:c r="H1056" t="str">
        <x:f>TEXT(D1056,"mmm")</x:f>
        <x:v>Jul</x:v>
      </x:c>
      <x:c r="I1056" s="22" t="n">
        <x:f>MONTH(D1056)</x:f>
        <x:v>7</x:v>
      </x:c>
      <x:c r="J1056" s="22" t="n">
        <x:f>YEAR(D1056)</x:f>
        <x:v>2022</x:v>
      </x:c>
      <x:c r="K1056" t="str">
        <x:f>IF(F1056&gt;200,"Large Order","Standard Order")</x:f>
        <x:v>Standard Order</x:v>
      </x:c>
    </x:row>
    <x:row r="1057">
      <x:c r="A1057" t="str">
        <x:v>Madelene Upcott</x:v>
      </x:c>
      <x:c r="B1057" t="str">
        <x:v>UK</x:v>
      </x:c>
      <x:c r="C1057" t="str">
        <x:v>Peanut Butter Cubes</x:v>
      </x:c>
      <x:c r="D1057" s="14" t="n">
        <x:v>44785</x:v>
      </x:c>
      <x:c r="E1057" s="16" t="n">
        <x:v>7756</x:v>
      </x:c>
      <x:c r="F1057" s="18" t="n">
        <x:v>85</x:v>
      </x:c>
      <x:c r="G1057" s="20" t="n">
        <x:f>IFERROR(E1057/F1057,0)</x:f>
        <x:v>91.24705882352941</x:v>
      </x:c>
      <x:c r="H1057" t="str">
        <x:f>TEXT(D1057,"mmm")</x:f>
        <x:v>Aug</x:v>
      </x:c>
      <x:c r="I1057" s="22" t="n">
        <x:f>MONTH(D1057)</x:f>
        <x:v>8</x:v>
      </x:c>
      <x:c r="J1057" s="22" t="n">
        <x:f>YEAR(D1057)</x:f>
        <x:v>2022</x:v>
      </x:c>
      <x:c r="K1057" t="str">
        <x:f>IF(F1057&gt;200,"Large Order","Standard Order")</x:f>
        <x:v>Standard Order</x:v>
      </x:c>
    </x:row>
    <x:row r="1058">
      <x:c r="A1058" t="str">
        <x:v>Madelene Upcott</x:v>
      </x:c>
      <x:c r="B1058" t="str">
        <x:v>USA</x:v>
      </x:c>
      <x:c r="C1058" t="str">
        <x:v>Choco Coated Almonds</x:v>
      </x:c>
      <x:c r="D1058" s="14" t="n">
        <x:v>44719</x:v>
      </x:c>
      <x:c r="E1058" s="16" t="n">
        <x:v>5446</x:v>
      </x:c>
      <x:c r="F1058" s="18" t="n">
        <x:v>132</x:v>
      </x:c>
      <x:c r="G1058" s="20" t="n">
        <x:f>IFERROR(E1058/F1058,0)</x:f>
        <x:v>41.25757575757576</x:v>
      </x:c>
      <x:c r="H1058" t="str">
        <x:f>TEXT(D1058,"mmm")</x:f>
        <x:v>Jun</x:v>
      </x:c>
      <x:c r="I1058" s="22" t="n">
        <x:f>MONTH(D1058)</x:f>
        <x:v>6</x:v>
      </x:c>
      <x:c r="J1058" s="22" t="n">
        <x:f>YEAR(D1058)</x:f>
        <x:v>2022</x:v>
      </x:c>
      <x:c r="K1058" t="str">
        <x:f>IF(F1058&gt;200,"Large Order","Standard Order")</x:f>
        <x:v>Standard Order</x:v>
      </x:c>
    </x:row>
    <x:row r="1059">
      <x:c r="A1059" t="str">
        <x:v>Marney O'Breen</x:v>
      </x:c>
      <x:c r="B1059" t="str">
        <x:v>Canada</x:v>
      </x:c>
      <x:c r="C1059" t="str">
        <x:v>Peanut Butter Cubes</x:v>
      </x:c>
      <x:c r="D1059" s="14" t="n">
        <x:v>44628</x:v>
      </x:c>
      <x:c r="E1059" s="16" t="n">
        <x:v>6594</x:v>
      </x:c>
      <x:c r="F1059" s="18" t="n">
        <x:v>91</x:v>
      </x:c>
      <x:c r="G1059" s="20" t="n">
        <x:f>IFERROR(E1059/F1059,0)</x:f>
        <x:v>72.46153846153847</x:v>
      </x:c>
      <x:c r="H1059" t="str">
        <x:f>TEXT(D1059,"mmm")</x:f>
        <x:v>Mar</x:v>
      </x:c>
      <x:c r="I1059" s="22" t="n">
        <x:f>MONTH(D1059)</x:f>
        <x:v>3</x:v>
      </x:c>
      <x:c r="J1059" s="22" t="n">
        <x:f>YEAR(D1059)</x:f>
        <x:v>2022</x:v>
      </x:c>
      <x:c r="K1059" t="str">
        <x:f>IF(F1059&gt;200,"Large Order","Standard Order")</x:f>
        <x:v>Standard Order</x:v>
      </x:c>
    </x:row>
    <x:row r="1060">
      <x:c r="A1060" t="str">
        <x:v>Ches Bonnell</x:v>
      </x:c>
      <x:c r="B1060" t="str">
        <x:v>Australia</x:v>
      </x:c>
      <x:c r="C1060" t="str">
        <x:v>Choco Coated Almonds</x:v>
      </x:c>
      <x:c r="D1060" s="14" t="n">
        <x:v>44659</x:v>
      </x:c>
      <x:c r="E1060" s="16" t="n">
        <x:v>1470</x:v>
      </x:c>
      <x:c r="F1060" s="18" t="n">
        <x:v>167</x:v>
      </x:c>
      <x:c r="G1060" s="20" t="n">
        <x:f>IFERROR(E1060/F1060,0)</x:f>
        <x:v>8.802395209580839</x:v>
      </x:c>
      <x:c r="H1060" t="str">
        <x:f>TEXT(D1060,"mmm")</x:f>
        <x:v>Apr</x:v>
      </x:c>
      <x:c r="I1060" s="22" t="n">
        <x:f>MONTH(D1060)</x:f>
        <x:v>4</x:v>
      </x:c>
      <x:c r="J1060" s="22" t="n">
        <x:f>YEAR(D1060)</x:f>
        <x:v>2022</x:v>
      </x:c>
      <x:c r="K1060" t="str">
        <x:f>IF(F1060&gt;200,"Large Order","Standard Order")</x:f>
        <x:v>Standard Order</x:v>
      </x:c>
    </x:row>
    <x:row r="1061">
      <x:c r="A1061" t="str">
        <x:v>Curtice Advani</x:v>
      </x:c>
      <x:c r="B1061" t="str">
        <x:v>Canada</x:v>
      </x:c>
      <x:c r="C1061" t="str">
        <x:v>Eclairs</x:v>
      </x:c>
      <x:c r="D1061" s="14" t="n">
        <x:v>44687</x:v>
      </x:c>
      <x:c r="E1061" s="16" t="n">
        <x:v>721</x:v>
      </x:c>
      <x:c r="F1061" s="18" t="n">
        <x:v>203</x:v>
      </x:c>
      <x:c r="G1061" s="20" t="n">
        <x:f>IFERROR(E1061/F1061,0)</x:f>
        <x:v>3.5517241379310347</x:v>
      </x:c>
      <x:c r="H1061" t="str">
        <x:f>TEXT(D1061,"mmm")</x:f>
        <x:v>May</x:v>
      </x:c>
      <x:c r="I1061" s="22" t="n">
        <x:f>MONTH(D1061)</x:f>
        <x:v>5</x:v>
      </x:c>
      <x:c r="J1061" s="22" t="n">
        <x:f>YEAR(D1061)</x:f>
        <x:v>2022</x:v>
      </x:c>
      <x:c r="K1061" t="str">
        <x:f>IF(F1061&gt;200,"Large Order","Standard Order")</x:f>
        <x:v>Large Order</x:v>
      </x:c>
    </x:row>
    <x:row r="1062">
      <x:c r="A1062" t="str">
        <x:v>Roddy Speechley</x:v>
      </x:c>
      <x:c r="B1062" t="str">
        <x:v>India</x:v>
      </x:c>
      <x:c r="C1062" t="str">
        <x:v>Drinking Coco</x:v>
      </x:c>
      <x:c r="D1062" s="14" t="n">
        <x:v>44712</x:v>
      </x:c>
      <x:c r="E1062" s="16" t="n">
        <x:v>4494</x:v>
      </x:c>
      <x:c r="F1062" s="18" t="n">
        <x:v>11</x:v>
      </x:c>
      <x:c r="G1062" s="20" t="n">
        <x:f>IFERROR(E1062/F1062,0)</x:f>
        <x:v>408.54545454545456</x:v>
      </x:c>
      <x:c r="H1062" t="str">
        <x:f>TEXT(D1062,"mmm")</x:f>
        <x:v>May</x:v>
      </x:c>
      <x:c r="I1062" s="22" t="n">
        <x:f>MONTH(D1062)</x:f>
        <x:v>5</x:v>
      </x:c>
      <x:c r="J1062" s="22" t="n">
        <x:f>YEAR(D1062)</x:f>
        <x:v>2022</x:v>
      </x:c>
      <x:c r="K1062" t="str">
        <x:f>IF(F1062&gt;200,"Large Order","Standard Order")</x:f>
        <x:v>Standard Order</x:v>
      </x:c>
    </x:row>
    <x:row r="1063">
      <x:c r="A1063" t="str">
        <x:v>Van Tuxwell</x:v>
      </x:c>
      <x:c r="B1063" t="str">
        <x:v>Australia</x:v>
      </x:c>
      <x:c r="C1063" t="str">
        <x:v>Mint Chip Choco</x:v>
      </x:c>
      <x:c r="D1063" s="14" t="n">
        <x:v>44574</x:v>
      </x:c>
      <x:c r="E1063" s="16" t="n">
        <x:v>2674</x:v>
      </x:c>
      <x:c r="F1063" s="18" t="n">
        <x:v>295</x:v>
      </x:c>
      <x:c r="G1063" s="20" t="n">
        <x:f>IFERROR(E1063/F1063,0)</x:f>
        <x:v>9.064406779661017</x:v>
      </x:c>
      <x:c r="H1063" t="str">
        <x:f>TEXT(D1063,"mmm")</x:f>
        <x:v>Jan</x:v>
      </x:c>
      <x:c r="I1063" s="22" t="n">
        <x:f>MONTH(D1063)</x:f>
        <x:v>1</x:v>
      </x:c>
      <x:c r="J1063" s="22" t="n">
        <x:f>YEAR(D1063)</x:f>
        <x:v>2022</x:v>
      </x:c>
      <x:c r="K1063" t="str">
        <x:f>IF(F1063&gt;200,"Large Order","Standard Order")</x:f>
        <x:v>Large Order</x:v>
      </x:c>
    </x:row>
    <x:row r="1064">
      <x:c r="A1064" t="str">
        <x:v>Dennison Crosswaite</x:v>
      </x:c>
      <x:c r="B1064" t="str">
        <x:v>USA</x:v>
      </x:c>
      <x:c r="C1064" t="str">
        <x:v>70% Dark Bites</x:v>
      </x:c>
      <x:c r="D1064" s="14" t="n">
        <x:v>44635</x:v>
      </x:c>
      <x:c r="E1064" s="16" t="n">
        <x:v>658</x:v>
      </x:c>
      <x:c r="F1064" s="18" t="n">
        <x:v>77</x:v>
      </x:c>
      <x:c r="G1064" s="20" t="n">
        <x:f>IFERROR(E1064/F1064,0)</x:f>
        <x:v>8.545454545454545</x:v>
      </x:c>
      <x:c r="H1064" t="str">
        <x:f>TEXT(D1064,"mmm")</x:f>
        <x:v>Mar</x:v>
      </x:c>
      <x:c r="I1064" s="22" t="n">
        <x:f>MONTH(D1064)</x:f>
        <x:v>3</x:v>
      </x:c>
      <x:c r="J1064" s="22" t="n">
        <x:f>YEAR(D1064)</x:f>
        <x:v>2022</x:v>
      </x:c>
      <x:c r="K1064" t="str">
        <x:f>IF(F1064&gt;200,"Large Order","Standard Order")</x:f>
        <x:v>Standard Order</x:v>
      </x:c>
    </x:row>
    <x:row r="1065">
      <x:c r="A1065" t="str">
        <x:v>Andria Kimpton</x:v>
      </x:c>
      <x:c r="B1065" t="str">
        <x:v>Canada</x:v>
      </x:c>
      <x:c r="C1065" t="str">
        <x:v>Peanut Butter Cubes</x:v>
      </x:c>
      <x:c r="D1065" s="14" t="n">
        <x:v>44608</x:v>
      </x:c>
      <x:c r="E1065" s="16" t="n">
        <x:v>1127</x:v>
      </x:c>
      <x:c r="F1065" s="18" t="n">
        <x:v>319</x:v>
      </x:c>
      <x:c r="G1065" s="20" t="n">
        <x:f>IFERROR(E1065/F1065,0)</x:f>
        <x:v>3.5329153605015673</x:v>
      </x:c>
      <x:c r="H1065" t="str">
        <x:f>TEXT(D1065,"mmm")</x:f>
        <x:v>Feb</x:v>
      </x:c>
      <x:c r="I1065" s="22" t="n">
        <x:f>MONTH(D1065)</x:f>
        <x:v>2</x:v>
      </x:c>
      <x:c r="J1065" s="22" t="n">
        <x:f>YEAR(D1065)</x:f>
        <x:v>2022</x:v>
      </x:c>
      <x:c r="K1065" t="str">
        <x:f>IF(F1065&gt;200,"Large Order","Standard Order")</x:f>
        <x:v>Large Order</x:v>
      </x:c>
    </x:row>
    <x:row r="1066">
      <x:c r="A1066" t="str">
        <x:v>Gigi Bohling</x:v>
      </x:c>
      <x:c r="B1066" t="str">
        <x:v>USA</x:v>
      </x:c>
      <x:c r="C1066" t="str">
        <x:v>70% Dark Bites</x:v>
      </x:c>
      <x:c r="D1066" s="14" t="n">
        <x:v>44575</x:v>
      </x:c>
      <x:c r="E1066" s="16" t="n">
        <x:v>7364</x:v>
      </x:c>
      <x:c r="F1066" s="18" t="n">
        <x:v>196</x:v>
      </x:c>
      <x:c r="G1066" s="20" t="n">
        <x:f>IFERROR(E1066/F1066,0)</x:f>
        <x:v>37.57142857142857</x:v>
      </x:c>
      <x:c r="H1066" t="str">
        <x:f>TEXT(D1066,"mmm")</x:f>
        <x:v>Jan</x:v>
      </x:c>
      <x:c r="I1066" s="22" t="n">
        <x:f>MONTH(D1066)</x:f>
        <x:v>1</x:v>
      </x:c>
      <x:c r="J1066" s="22" t="n">
        <x:f>YEAR(D1066)</x:f>
        <x:v>2022</x:v>
      </x:c>
      <x:c r="K1066" t="str">
        <x:f>IF(F1066&gt;200,"Large Order","Standard Order")</x:f>
        <x:v>Standard Order</x:v>
      </x:c>
    </x:row>
    <x:row r="1067">
      <x:c r="A1067" t="str">
        <x:v>Rafaelita Blaksland</x:v>
      </x:c>
      <x:c r="B1067" t="str">
        <x:v>Australia</x:v>
      </x:c>
      <x:c r="C1067" t="str">
        <x:v>White Choc</x:v>
      </x:c>
      <x:c r="D1067" s="14" t="n">
        <x:v>44641</x:v>
      </x:c>
      <x:c r="E1067" s="16" t="n">
        <x:v>6818</x:v>
      </x:c>
      <x:c r="F1067" s="18" t="n">
        <x:v>102</x:v>
      </x:c>
      <x:c r="G1067" s="20" t="n">
        <x:f>IFERROR(E1067/F1067,0)</x:f>
        <x:v>66.84313725490196</x:v>
      </x:c>
      <x:c r="H1067" t="str">
        <x:f>TEXT(D1067,"mmm")</x:f>
        <x:v>Mar</x:v>
      </x:c>
      <x:c r="I1067" s="22" t="n">
        <x:f>MONTH(D1067)</x:f>
        <x:v>3</x:v>
      </x:c>
      <x:c r="J1067" s="22" t="n">
        <x:f>YEAR(D1067)</x:f>
        <x:v>2022</x:v>
      </x:c>
      <x:c r="K1067" t="str">
        <x:f>IF(F1067&gt;200,"Large Order","Standard Order")</x:f>
        <x:v>Standard Order</x:v>
      </x:c>
    </x:row>
    <x:row r="1068">
      <x:c r="A1068" t="str">
        <x:v>Roddy Speechley</x:v>
      </x:c>
      <x:c r="B1068" t="str">
        <x:v>Canada</x:v>
      </x:c>
      <x:c r="C1068" t="str">
        <x:v>Drinking Coco</x:v>
      </x:c>
      <x:c r="D1068" s="14" t="n">
        <x:v>44698</x:v>
      </x:c>
      <x:c r="E1068" s="16" t="n">
        <x:v>6776</x:v>
      </x:c>
      <x:c r="F1068" s="18" t="n">
        <x:v>312</x:v>
      </x:c>
      <x:c r="G1068" s="20" t="n">
        <x:f>IFERROR(E1068/F1068,0)</x:f>
        <x:v>21.71794871794872</x:v>
      </x:c>
      <x:c r="H1068" t="str">
        <x:f>TEXT(D1068,"mmm")</x:f>
        <x:v>May</x:v>
      </x:c>
      <x:c r="I1068" s="22" t="n">
        <x:f>MONTH(D1068)</x:f>
        <x:v>5</x:v>
      </x:c>
      <x:c r="J1068" s="22" t="n">
        <x:f>YEAR(D1068)</x:f>
        <x:v>2022</x:v>
      </x:c>
      <x:c r="K1068" t="str">
        <x:f>IF(F1068&gt;200,"Large Order","Standard Order")</x:f>
        <x:v>Large Order</x:v>
      </x:c>
    </x:row>
    <x:row r="1069">
      <x:c r="A1069" t="str">
        <x:v>Camilla Castle</x:v>
      </x:c>
      <x:c r="B1069" t="str">
        <x:v>New Zealand</x:v>
      </x:c>
      <x:c r="C1069" t="str">
        <x:v>85% Dark Bars</x:v>
      </x:c>
      <x:c r="D1069" s="14" t="n">
        <x:v>44781</x:v>
      </x:c>
      <x:c r="E1069" s="16" t="n">
        <x:v>15099</x:v>
      </x:c>
      <x:c r="F1069" s="18" t="n">
        <x:v>55</x:v>
      </x:c>
      <x:c r="G1069" s="20" t="n">
        <x:f>IFERROR(E1069/F1069,0)</x:f>
        <x:v>274.5272727272727</x:v>
      </x:c>
      <x:c r="H1069" t="str">
        <x:f>TEXT(D1069,"mmm")</x:f>
        <x:v>Aug</x:v>
      </x:c>
      <x:c r="I1069" s="22" t="n">
        <x:f>MONTH(D1069)</x:f>
        <x:v>8</x:v>
      </x:c>
      <x:c r="J1069" s="22" t="n">
        <x:f>YEAR(D1069)</x:f>
        <x:v>2022</x:v>
      </x:c>
      <x:c r="K1069" t="str">
        <x:f>IF(F1069&gt;200,"Large Order","Standard Order")</x:f>
        <x:v>Standard Order</x:v>
      </x:c>
    </x:row>
    <x:row r="1070">
      <x:c r="A1070" t="str">
        <x:v>Madelene Upcott</x:v>
      </x:c>
      <x:c r="B1070" t="str">
        <x:v>Canada</x:v>
      </x:c>
      <x:c r="C1070" t="str">
        <x:v>Milk Bars</x:v>
      </x:c>
      <x:c r="D1070" s="14" t="n">
        <x:v>44677</x:v>
      </x:c>
      <x:c r="E1070" s="16" t="n">
        <x:v>3612</x:v>
      </x:c>
      <x:c r="F1070" s="18" t="n">
        <x:v>82</x:v>
      </x:c>
      <x:c r="G1070" s="20" t="n">
        <x:f>IFERROR(E1070/F1070,0)</x:f>
        <x:v>44.048780487804876</x:v>
      </x:c>
      <x:c r="H1070" t="str">
        <x:f>TEXT(D1070,"mmm")</x:f>
        <x:v>Apr</x:v>
      </x:c>
      <x:c r="I1070" s="22" t="n">
        <x:f>MONTH(D1070)</x:f>
        <x:v>4</x:v>
      </x:c>
      <x:c r="J1070" s="22" t="n">
        <x:f>YEAR(D1070)</x:f>
        <x:v>2022</x:v>
      </x:c>
      <x:c r="K1070" t="str">
        <x:f>IF(F1070&gt;200,"Large Order","Standard Order")</x:f>
        <x:v>Standard Order</x:v>
      </x:c>
    </x:row>
    <x:row r="1071">
      <x:c r="A1071" t="str">
        <x:v>Madelene Upcott</x:v>
      </x:c>
      <x:c r="B1071" t="str">
        <x:v>Australia</x:v>
      </x:c>
      <x:c r="C1071" t="str">
        <x:v>70% Dark Bites</x:v>
      </x:c>
      <x:c r="D1071" s="14" t="n">
        <x:v>44666</x:v>
      </x:c>
      <x:c r="E1071" s="16" t="n">
        <x:v>3710</x:v>
      </x:c>
      <x:c r="F1071" s="18" t="n">
        <x:v>260</x:v>
      </x:c>
      <x:c r="G1071" s="20" t="n">
        <x:f>IFERROR(E1071/F1071,0)</x:f>
        <x:v>14.26923076923077</x:v>
      </x:c>
      <x:c r="H1071" t="str">
        <x:f>TEXT(D1071,"mmm")</x:f>
        <x:v>Apr</x:v>
      </x:c>
      <x:c r="I1071" s="22" t="n">
        <x:f>MONTH(D1071)</x:f>
        <x:v>4</x:v>
      </x:c>
      <x:c r="J1071" s="22" t="n">
        <x:f>YEAR(D1071)</x:f>
        <x:v>2022</x:v>
      </x:c>
      <x:c r="K1071" t="str">
        <x:f>IF(F1071&gt;200,"Large Order","Standard Order")</x:f>
        <x:v>Large Order</x:v>
      </x:c>
    </x:row>
    <x:row r="1072">
      <x:c r="A1072" t="str">
        <x:v>Oby Sorrel</x:v>
      </x:c>
      <x:c r="B1072" t="str">
        <x:v>Canada</x:v>
      </x:c>
      <x:c r="C1072" t="str">
        <x:v>Eclairs</x:v>
      </x:c>
      <x:c r="D1072" s="14" t="n">
        <x:v>44700</x:v>
      </x:c>
      <x:c r="E1072" s="16" t="n">
        <x:v>6111</x:v>
      </x:c>
      <x:c r="F1072" s="18" t="n">
        <x:v>591</x:v>
      </x:c>
      <x:c r="G1072" s="20" t="n">
        <x:f>IFERROR(E1072/F1072,0)</x:f>
        <x:v>10.34010152284264</x:v>
      </x:c>
      <x:c r="H1072" t="str">
        <x:f>TEXT(D1072,"mmm")</x:f>
        <x:v>May</x:v>
      </x:c>
      <x:c r="I1072" s="22" t="n">
        <x:f>MONTH(D1072)</x:f>
        <x:v>5</x:v>
      </x:c>
      <x:c r="J1072" s="22" t="n">
        <x:f>YEAR(D1072)</x:f>
        <x:v>2022</x:v>
      </x:c>
      <x:c r="K1072" t="str">
        <x:f>IF(F1072&gt;200,"Large Order","Standard Order")</x:f>
        <x:v>Large Order</x:v>
      </x:c>
    </x:row>
    <x:row r="1073">
      <x:c r="A1073" t="str">
        <x:v>Dennison Crosswaite</x:v>
      </x:c>
      <x:c r="B1073" t="str">
        <x:v>Canada</x:v>
      </x:c>
      <x:c r="C1073" t="str">
        <x:v>Drinking Coco</x:v>
      </x:c>
      <x:c r="D1073" s="14" t="n">
        <x:v>44571</x:v>
      </x:c>
      <x:c r="E1073" s="16" t="n">
        <x:v>2702</x:v>
      </x:c>
      <x:c r="F1073" s="18" t="n">
        <x:v>24</x:v>
      </x:c>
      <x:c r="G1073" s="20" t="n">
        <x:f>IFERROR(E1073/F1073,0)</x:f>
        <x:v>112.58333333333333</x:v>
      </x:c>
      <x:c r="H1073" t="str">
        <x:f>TEXT(D1073,"mmm")</x:f>
        <x:v>Jan</x:v>
      </x:c>
      <x:c r="I1073" s="22" t="n">
        <x:f>MONTH(D1073)</x:f>
        <x:v>1</x:v>
      </x:c>
      <x:c r="J1073" s="22" t="n">
        <x:f>YEAR(D1073)</x:f>
        <x:v>2022</x:v>
      </x:c>
      <x:c r="K1073" t="str">
        <x:f>IF(F1073&gt;200,"Large Order","Standard Order")</x:f>
        <x:v>Standard Order</x:v>
      </x:c>
    </x:row>
    <x:row r="1074">
      <x:c r="A1074" t="str">
        <x:v>Mallorie Waber</x:v>
      </x:c>
      <x:c r="B1074" t="str">
        <x:v>New Zealand</x:v>
      </x:c>
      <x:c r="C1074" t="str">
        <x:v>After Nines</x:v>
      </x:c>
      <x:c r="D1074" s="14" t="n">
        <x:v>44685</x:v>
      </x:c>
      <x:c r="E1074" s="16" t="n">
        <x:v>483</x:v>
      </x:c>
      <x:c r="F1074" s="18" t="n">
        <x:v>228</x:v>
      </x:c>
      <x:c r="G1074" s="20" t="n">
        <x:f>IFERROR(E1074/F1074,0)</x:f>
        <x:v>2.1184210526315788</x:v>
      </x:c>
      <x:c r="H1074" t="str">
        <x:f>TEXT(D1074,"mmm")</x:f>
        <x:v>May</x:v>
      </x:c>
      <x:c r="I1074" s="22" t="n">
        <x:f>MONTH(D1074)</x:f>
        <x:v>5</x:v>
      </x:c>
      <x:c r="J1074" s="22" t="n">
        <x:f>YEAR(D1074)</x:f>
        <x:v>2022</x:v>
      </x:c>
      <x:c r="K1074" t="str">
        <x:f>IF(F1074&gt;200,"Large Order","Standard Order")</x:f>
        <x:v>Large Order</x:v>
      </x:c>
    </x:row>
    <x:row r="1075">
      <x:c r="A1075" t="str">
        <x:v>Roddy Speechley</x:v>
      </x:c>
      <x:c r="B1075" t="str">
        <x:v>Canada</x:v>
      </x:c>
      <x:c r="C1075" t="str">
        <x:v>White Choc</x:v>
      </x:c>
      <x:c r="D1075" s="14" t="n">
        <x:v>44656</x:v>
      </x:c>
      <x:c r="E1075" s="16" t="n">
        <x:v>5887</x:v>
      </x:c>
      <x:c r="F1075" s="18" t="n">
        <x:v>268</x:v>
      </x:c>
      <x:c r="G1075" s="20" t="n">
        <x:f>IFERROR(E1075/F1075,0)</x:f>
        <x:v>21.96641791044776</x:v>
      </x:c>
      <x:c r="H1075" t="str">
        <x:f>TEXT(D1075,"mmm")</x:f>
        <x:v>Apr</x:v>
      </x:c>
      <x:c r="I1075" s="22" t="n">
        <x:f>MONTH(D1075)</x:f>
        <x:v>4</x:v>
      </x:c>
      <x:c r="J1075" s="22" t="n">
        <x:f>YEAR(D1075)</x:f>
        <x:v>2022</x:v>
      </x:c>
      <x:c r="K1075" t="str">
        <x:f>IF(F1075&gt;200,"Large Order","Standard Order")</x:f>
        <x:v>Large Order</x:v>
      </x:c>
    </x:row>
    <x:row r="1076">
      <x:c r="A1076" t="str">
        <x:v>Andria Kimpton</x:v>
      </x:c>
      <x:c r="B1076" t="str">
        <x:v>India</x:v>
      </x:c>
      <x:c r="C1076" t="str">
        <x:v>After Nines</x:v>
      </x:c>
      <x:c r="D1076" s="14" t="n">
        <x:v>44578</x:v>
      </x:c>
      <x:c r="E1076" s="16" t="n">
        <x:v>952</x:v>
      </x:c>
      <x:c r="F1076" s="18" t="n">
        <x:v>68</x:v>
      </x:c>
      <x:c r="G1076" s="20" t="n">
        <x:f>IFERROR(E1076/F1076,0)</x:f>
        <x:v>14</x:v>
      </x:c>
      <x:c r="H1076" t="str">
        <x:f>TEXT(D1076,"mmm")</x:f>
        <x:v>Jan</x:v>
      </x:c>
      <x:c r="I1076" s="22" t="n">
        <x:f>MONTH(D1076)</x:f>
        <x:v>1</x:v>
      </x:c>
      <x:c r="J1076" s="22" t="n">
        <x:f>YEAR(D1076)</x:f>
        <x:v>2022</x:v>
      </x:c>
      <x:c r="K1076" t="str">
        <x:f>IF(F1076&gt;200,"Large Order","Standard Order")</x:f>
        <x:v>Standard Order</x:v>
      </x:c>
    </x:row>
    <x:row r="1077">
      <x:c r="A1077" t="str">
        <x:v>Roddy Speechley</x:v>
      </x:c>
      <x:c r="B1077" t="str">
        <x:v>India</x:v>
      </x:c>
      <x:c r="C1077" t="str">
        <x:v>Spicy Special Slims</x:v>
      </x:c>
      <x:c r="D1077" s="14" t="n">
        <x:v>44642</x:v>
      </x:c>
      <x:c r="E1077" s="16" t="n">
        <x:v>10647</x:v>
      </x:c>
      <x:c r="F1077" s="18" t="n">
        <x:v>173</x:v>
      </x:c>
      <x:c r="G1077" s="20" t="n">
        <x:f>IFERROR(E1077/F1077,0)</x:f>
        <x:v>61.543352601156066</x:v>
      </x:c>
      <x:c r="H1077" t="str">
        <x:f>TEXT(D1077,"mmm")</x:f>
        <x:v>Mar</x:v>
      </x:c>
      <x:c r="I1077" s="22" t="n">
        <x:f>MONTH(D1077)</x:f>
        <x:v>3</x:v>
      </x:c>
      <x:c r="J1077" s="22" t="n">
        <x:f>YEAR(D1077)</x:f>
        <x:v>2022</x:v>
      </x:c>
      <x:c r="K1077" t="str">
        <x:f>IF(F1077&gt;200,"Large Order","Standard Order")</x:f>
        <x:v>Standard Order</x:v>
      </x:c>
    </x:row>
    <x:row r="1078">
      <x:c r="A1078" t="str">
        <x:v>Dotty Strutley</x:v>
      </x:c>
      <x:c r="B1078" t="str">
        <x:v>Australia</x:v>
      </x:c>
      <x:c r="C1078" t="str">
        <x:v>White Choc</x:v>
      </x:c>
      <x:c r="D1078" s="14" t="n">
        <x:v>44747</x:v>
      </x:c>
      <x:c r="E1078" s="16" t="n">
        <x:v>6055</x:v>
      </x:c>
      <x:c r="F1078" s="18" t="n">
        <x:v>93</x:v>
      </x:c>
      <x:c r="G1078" s="20" t="n">
        <x:f>IFERROR(E1078/F1078,0)</x:f>
        <x:v>65.10752688172043</x:v>
      </x:c>
      <x:c r="H1078" t="str">
        <x:f>TEXT(D1078,"mmm")</x:f>
        <x:v>Jul</x:v>
      </x:c>
      <x:c r="I1078" s="22" t="n">
        <x:f>MONTH(D1078)</x:f>
        <x:v>7</x:v>
      </x:c>
      <x:c r="J1078" s="22" t="n">
        <x:f>YEAR(D1078)</x:f>
        <x:v>2022</x:v>
      </x:c>
      <x:c r="K1078" t="str">
        <x:f>IF(F1078&gt;200,"Large Order","Standard Order")</x:f>
        <x:v>Standard Order</x:v>
      </x:c>
    </x:row>
    <x:row r="1079">
      <x:c r="A1079" t="str">
        <x:v>Oby Sorrel</x:v>
      </x:c>
      <x:c r="B1079" t="str">
        <x:v>Canada</x:v>
      </x:c>
      <x:c r="C1079" t="str">
        <x:v>Orange Choco</x:v>
      </x:c>
      <x:c r="D1079" s="14" t="n">
        <x:v>44678</x:v>
      </x:c>
      <x:c r="E1079" s="16" t="n">
        <x:v>8757</x:v>
      </x:c>
      <x:c r="F1079" s="18" t="n">
        <x:v>338</x:v>
      </x:c>
      <x:c r="G1079" s="20" t="n">
        <x:f>IFERROR(E1079/F1079,0)</x:f>
        <x:v>25.90828402366864</x:v>
      </x:c>
      <x:c r="H1079" t="str">
        <x:f>TEXT(D1079,"mmm")</x:f>
        <x:v>Apr</x:v>
      </x:c>
      <x:c r="I1079" s="22" t="n">
        <x:f>MONTH(D1079)</x:f>
        <x:v>4</x:v>
      </x:c>
      <x:c r="J1079" s="22" t="n">
        <x:f>YEAR(D1079)</x:f>
        <x:v>2022</x:v>
      </x:c>
      <x:c r="K1079" t="str">
        <x:f>IF(F1079&gt;200,"Large Order","Standard Order")</x:f>
        <x:v>Large Order</x:v>
      </x:c>
    </x:row>
    <x:row r="1080">
      <x:c r="A1080" t="str">
        <x:v>Kaine Padly</x:v>
      </x:c>
      <x:c r="B1080" t="str">
        <x:v>Canada</x:v>
      </x:c>
      <x:c r="C1080" t="str">
        <x:v>Almond Choco</x:v>
      </x:c>
      <x:c r="D1080" s="14" t="n">
        <x:v>44785</x:v>
      </x:c>
      <x:c r="E1080" s="16" t="n">
        <x:v>6055</x:v>
      </x:c>
      <x:c r="F1080" s="18" t="n">
        <x:v>73</x:v>
      </x:c>
      <x:c r="G1080" s="20" t="n">
        <x:f>IFERROR(E1080/F1080,0)</x:f>
        <x:v>82.94520547945206</x:v>
      </x:c>
      <x:c r="H1080" t="str">
        <x:f>TEXT(D1080,"mmm")</x:f>
        <x:v>Aug</x:v>
      </x:c>
      <x:c r="I1080" s="22" t="n">
        <x:f>MONTH(D1080)</x:f>
        <x:v>8</x:v>
      </x:c>
      <x:c r="J1080" s="22" t="n">
        <x:f>YEAR(D1080)</x:f>
        <x:v>2022</x:v>
      </x:c>
      <x:c r="K1080" t="str">
        <x:f>IF(F1080&gt;200,"Large Order","Standard Order")</x:f>
        <x:v>Standard Order</x:v>
      </x:c>
    </x:row>
    <x:row r="1081">
      <x:c r="A1081" t="str">
        <x:v>Jan Morforth</x:v>
      </x:c>
      <x:c r="B1081" t="str">
        <x:v>UK</x:v>
      </x:c>
      <x:c r="C1081" t="str">
        <x:v>Baker's Choco Chips</x:v>
      </x:c>
      <x:c r="D1081" s="14" t="n">
        <x:v>44631</x:v>
      </x:c>
      <x:c r="E1081" s="16" t="n">
        <x:v>721</x:v>
      </x:c>
      <x:c r="F1081" s="18" t="n">
        <x:v>251</x:v>
      </x:c>
      <x:c r="G1081" s="20" t="n">
        <x:f>IFERROR(E1081/F1081,0)</x:f>
        <x:v>2.8725099601593627</x:v>
      </x:c>
      <x:c r="H1081" t="str">
        <x:f>TEXT(D1081,"mmm")</x:f>
        <x:v>Mar</x:v>
      </x:c>
      <x:c r="I1081" s="22" t="n">
        <x:f>MONTH(D1081)</x:f>
        <x:v>3</x:v>
      </x:c>
      <x:c r="J1081" s="22" t="n">
        <x:f>YEAR(D1081)</x:f>
        <x:v>2022</x:v>
      </x:c>
      <x:c r="K1081" t="str">
        <x:f>IF(F1081&gt;200,"Large Order","Standard Order")</x:f>
        <x:v>Large Order</x:v>
      </x:c>
    </x:row>
    <x:row r="1082">
      <x:c r="A1082" t="str">
        <x:v>Jehu Rudeforth</x:v>
      </x:c>
      <x:c r="B1082" t="str">
        <x:v>UK</x:v>
      </x:c>
      <x:c r="C1082" t="str">
        <x:v>Fruit &amp; Nut Bars</x:v>
      </x:c>
      <x:c r="D1082" s="14" t="n">
        <x:v>44694</x:v>
      </x:c>
      <x:c r="E1082" s="16" t="n">
        <x:v>8589</x:v>
      </x:c>
      <x:c r="F1082" s="18" t="n">
        <x:v>229</x:v>
      </x:c>
      <x:c r="G1082" s="20" t="n">
        <x:f>IFERROR(E1082/F1082,0)</x:f>
        <x:v>37.506550218340614</x:v>
      </x:c>
      <x:c r="H1082" t="str">
        <x:f>TEXT(D1082,"mmm")</x:f>
        <x:v>May</x:v>
      </x:c>
      <x:c r="I1082" s="22" t="n">
        <x:f>MONTH(D1082)</x:f>
        <x:v>5</x:v>
      </x:c>
      <x:c r="J1082" s="22" t="n">
        <x:f>YEAR(D1082)</x:f>
        <x:v>2022</x:v>
      </x:c>
      <x:c r="K1082" t="str">
        <x:f>IF(F1082&gt;200,"Large Order","Standard Order")</x:f>
        <x:v>Large Order</x:v>
      </x:c>
    </x:row>
    <x:row r="1083">
      <x:c r="A1083" t="str">
        <x:v>Dennison Crosswaite</x:v>
      </x:c>
      <x:c r="B1083" t="str">
        <x:v>USA</x:v>
      </x:c>
      <x:c r="C1083" t="str">
        <x:v>Smooth Silky Salty</x:v>
      </x:c>
      <x:c r="D1083" s="14" t="n">
        <x:v>44693</x:v>
      </x:c>
      <x:c r="E1083" s="16" t="n">
        <x:v>11781</x:v>
      </x:c>
      <x:c r="F1083" s="18" t="n">
        <x:v>91</x:v>
      </x:c>
      <x:c r="G1083" s="20" t="n">
        <x:f>IFERROR(E1083/F1083,0)</x:f>
        <x:v>129.46153846153845</x:v>
      </x:c>
      <x:c r="H1083" t="str">
        <x:f>TEXT(D1083,"mmm")</x:f>
        <x:v>May</x:v>
      </x:c>
      <x:c r="I1083" s="22" t="n">
        <x:f>MONTH(D1083)</x:f>
        <x:v>5</x:v>
      </x:c>
      <x:c r="J1083" s="22" t="n">
        <x:f>YEAR(D1083)</x:f>
        <x:v>2022</x:v>
      </x:c>
      <x:c r="K1083" t="str">
        <x:f>IF(F1083&gt;200,"Large Order","Standard Order")</x:f>
        <x:v>Standard Order</x:v>
      </x:c>
    </x:row>
    <x:row r="1084">
      <x:c r="A1084" t="str">
        <x:v>Brien Boise</x:v>
      </x:c>
      <x:c r="B1084" t="str">
        <x:v>USA</x:v>
      </x:c>
      <x:c r="C1084" t="str">
        <x:v>Raspberry Choco</x:v>
      </x:c>
      <x:c r="D1084" s="14" t="n">
        <x:v>44573</x:v>
      </x:c>
      <x:c r="E1084" s="16" t="n">
        <x:v>672</x:v>
      </x:c>
      <x:c r="F1084" s="18" t="n">
        <x:v>194</x:v>
      </x:c>
      <x:c r="G1084" s="20" t="n">
        <x:f>IFERROR(E1084/F1084,0)</x:f>
        <x:v>3.463917525773196</x:v>
      </x:c>
      <x:c r="H1084" t="str">
        <x:f>TEXT(D1084,"mmm")</x:f>
        <x:v>Jan</x:v>
      </x:c>
      <x:c r="I1084" s="22" t="n">
        <x:f>MONTH(D1084)</x:f>
        <x:v>1</x:v>
      </x:c>
      <x:c r="J1084" s="22" t="n">
        <x:f>YEAR(D1084)</x:f>
        <x:v>2022</x:v>
      </x:c>
      <x:c r="K1084" t="str">
        <x:f>IF(F1084&gt;200,"Large Order","Standard Order")</x:f>
        <x:v>Standard Order</x:v>
      </x:c>
    </x:row>
    <x:row r="1085">
      <x:c r="A1085" t="str">
        <x:v>Madelene Upcott</x:v>
      </x:c>
      <x:c r="B1085" t="str">
        <x:v>New Zealand</x:v>
      </x:c>
      <x:c r="C1085" t="str">
        <x:v>Milk Bars</x:v>
      </x:c>
      <x:c r="D1085" s="14" t="n">
        <x:v>44649</x:v>
      </x:c>
      <x:c r="E1085" s="16" t="n">
        <x:v>12558</x:v>
      </x:c>
      <x:c r="F1085" s="18" t="n">
        <x:v>403</x:v>
      </x:c>
      <x:c r="G1085" s="20" t="n">
        <x:f>IFERROR(E1085/F1085,0)</x:f>
        <x:v>31.161290322580644</x:v>
      </x:c>
      <x:c r="H1085" t="str">
        <x:f>TEXT(D1085,"mmm")</x:f>
        <x:v>Mar</x:v>
      </x:c>
      <x:c r="I1085" s="22" t="n">
        <x:f>MONTH(D1085)</x:f>
        <x:v>3</x:v>
      </x:c>
      <x:c r="J1085" s="22" t="n">
        <x:f>YEAR(D1085)</x:f>
        <x:v>2022</x:v>
      </x:c>
      <x:c r="K1085" t="str">
        <x:f>IF(F1085&gt;200,"Large Order","Standard Order")</x:f>
        <x:v>Large Order</x:v>
      </x:c>
    </x:row>
    <x:row r="1086">
      <x:c r="A1086" t="str">
        <x:v>Roddy Speechley</x:v>
      </x:c>
      <x:c r="B1086" t="str">
        <x:v>India</x:v>
      </x:c>
      <x:c r="C1086" t="str">
        <x:v>50% Dark Bites</x:v>
      </x:c>
      <x:c r="D1086" s="14" t="n">
        <x:v>44634</x:v>
      </x:c>
      <x:c r="E1086" s="16" t="n">
        <x:v>8337</x:v>
      </x:c>
      <x:c r="F1086" s="18" t="n">
        <x:v>12</x:v>
      </x:c>
      <x:c r="G1086" s="20" t="n">
        <x:f>IFERROR(E1086/F1086,0)</x:f>
        <x:v>694.75</x:v>
      </x:c>
      <x:c r="H1086" t="str">
        <x:f>TEXT(D1086,"mmm")</x:f>
        <x:v>Mar</x:v>
      </x:c>
      <x:c r="I1086" s="22" t="n">
        <x:f>MONTH(D1086)</x:f>
        <x:v>3</x:v>
      </x:c>
      <x:c r="J1086" s="22" t="n">
        <x:f>YEAR(D1086)</x:f>
        <x:v>2022</x:v>
      </x:c>
      <x:c r="K1086" t="str">
        <x:f>IF(F1086&gt;200,"Large Order","Standard Order")</x:f>
        <x:v>Standard Order</x:v>
      </x:c>
    </x:row>
    <x:row r="1087">
      <x:c r="A1087" t="str">
        <x:v>Barr Faughny</x:v>
      </x:c>
      <x:c r="B1087" t="str">
        <x:v>New Zealand</x:v>
      </x:c>
      <x:c r="C1087" t="str">
        <x:v>99% Dark &amp; Pure</x:v>
      </x:c>
      <x:c r="D1087" s="14" t="n">
        <x:v>44705</x:v>
      </x:c>
      <x:c r="E1087" s="16" t="n">
        <x:v>8134</x:v>
      </x:c>
      <x:c r="F1087" s="18" t="n">
        <x:v>195</x:v>
      </x:c>
      <x:c r="G1087" s="20" t="n">
        <x:f>IFERROR(E1087/F1087,0)</x:f>
        <x:v>41.712820512820514</x:v>
      </x:c>
      <x:c r="H1087" t="str">
        <x:f>TEXT(D1087,"mmm")</x:f>
        <x:v>May</x:v>
      </x:c>
      <x:c r="I1087" s="22" t="n">
        <x:f>MONTH(D1087)</x:f>
        <x:v>5</x:v>
      </x:c>
      <x:c r="J1087" s="22" t="n">
        <x:f>YEAR(D1087)</x:f>
        <x:v>2022</x:v>
      </x:c>
      <x:c r="K1087" t="str">
        <x:f>IF(F1087&gt;200,"Large Order","Standard Order")</x:f>
        <x:v>Standard Order</x:v>
      </x:c>
    </x:row>
    <x:row r="1088">
      <x:c r="A1088" t="str">
        <x:v>Dennison Crosswaite</x:v>
      </x:c>
      <x:c r="B1088" t="str">
        <x:v>Canada</x:v>
      </x:c>
      <x:c r="C1088" t="str">
        <x:v>Organic Choco Syrup</x:v>
      </x:c>
      <x:c r="D1088" s="14" t="n">
        <x:v>44589</x:v>
      </x:c>
      <x:c r="E1088" s="16" t="n">
        <x:v>8491</x:v>
      </x:c>
      <x:c r="F1088" s="18" t="n">
        <x:v>75</x:v>
      </x:c>
      <x:c r="G1088" s="20" t="n">
        <x:f>IFERROR(E1088/F1088,0)</x:f>
        <x:v>113.21333333333334</x:v>
      </x:c>
      <x:c r="H1088" t="str">
        <x:f>TEXT(D1088,"mmm")</x:f>
        <x:v>Jan</x:v>
      </x:c>
      <x:c r="I1088" s="22" t="n">
        <x:f>MONTH(D1088)</x:f>
        <x:v>1</x:v>
      </x:c>
      <x:c r="J1088" s="22" t="n">
        <x:f>YEAR(D1088)</x:f>
        <x:v>2022</x:v>
      </x:c>
      <x:c r="K1088" t="str">
        <x:f>IF(F1088&gt;200,"Large Order","Standard Order")</x:f>
        <x:v>Standard Order</x:v>
      </x:c>
    </x:row>
    <x:row r="1089">
      <x:c r="A1089" t="str">
        <x:v>Beverie Moffet</x:v>
      </x:c>
      <x:c r="B1089" t="str">
        <x:v>India</x:v>
      </x:c>
      <x:c r="C1089" t="str">
        <x:v>Almond Choco</x:v>
      </x:c>
      <x:c r="D1089" s="14" t="n">
        <x:v>44705</x:v>
      </x:c>
      <x:c r="E1089" s="16" t="n">
        <x:v>3066</x:v>
      </x:c>
      <x:c r="F1089" s="18" t="n">
        <x:v>96</x:v>
      </x:c>
      <x:c r="G1089" s="20" t="n">
        <x:f>IFERROR(E1089/F1089,0)</x:f>
        <x:v>31.9375</x:v>
      </x:c>
      <x:c r="H1089" t="str">
        <x:f>TEXT(D1089,"mmm")</x:f>
        <x:v>May</x:v>
      </x:c>
      <x:c r="I1089" s="22" t="n">
        <x:f>MONTH(D1089)</x:f>
        <x:v>5</x:v>
      </x:c>
      <x:c r="J1089" s="22" t="n">
        <x:f>YEAR(D1089)</x:f>
        <x:v>2022</x:v>
      </x:c>
      <x:c r="K1089" t="str">
        <x:f>IF(F1089&gt;200,"Large Order","Standard Order")</x:f>
        <x:v>Standard Order</x:v>
      </x:c>
    </x:row>
    <x:row r="1090">
      <x:c r="A1090" t="str">
        <x:v>Brien Boise</x:v>
      </x:c>
      <x:c r="B1090" t="str">
        <x:v>Australia</x:v>
      </x:c>
      <x:c r="C1090" t="str">
        <x:v>Peanut Butter Cubes</x:v>
      </x:c>
      <x:c r="D1090" s="14" t="n">
        <x:v>44792</x:v>
      </x:c>
      <x:c r="E1090" s="16" t="n">
        <x:v>301</x:v>
      </x:c>
      <x:c r="F1090" s="18" t="n">
        <x:v>205</x:v>
      </x:c>
      <x:c r="G1090" s="20" t="n">
        <x:f>IFERROR(E1090/F1090,0)</x:f>
        <x:v>1.4682926829268292</x:v>
      </x:c>
      <x:c r="H1090" t="str">
        <x:f>TEXT(D1090,"mmm")</x:f>
        <x:v>Aug</x:v>
      </x:c>
      <x:c r="I1090" s="22" t="n">
        <x:f>MONTH(D1090)</x:f>
        <x:v>8</x:v>
      </x:c>
      <x:c r="J1090" s="22" t="n">
        <x:f>YEAR(D1090)</x:f>
        <x:v>2022</x:v>
      </x:c>
      <x:c r="K1090" t="str">
        <x:f>IF(F1090&gt;200,"Large Order","Standard Order")</x:f>
        <x:v>Large Order</x:v>
      </x:c>
    </x:row>
    <x:row r="1091">
      <x:c r="A1091" t="str">
        <x:v>Karlen McCaffrey</x:v>
      </x:c>
      <x:c r="B1091" t="str">
        <x:v>Australia</x:v>
      </x:c>
      <x:c r="C1091" t="str">
        <x:v>Spicy Special Slims</x:v>
      </x:c>
      <x:c r="D1091" s="14" t="n">
        <x:v>44698</x:v>
      </x:c>
      <x:c r="E1091" s="16" t="n">
        <x:v>4410</x:v>
      </x:c>
      <x:c r="F1091" s="18" t="n">
        <x:v>323</x:v>
      </x:c>
      <x:c r="G1091" s="20" t="n">
        <x:f>IFERROR(E1091/F1091,0)</x:f>
        <x:v>13.653250773993808</x:v>
      </x:c>
      <x:c r="H1091" t="str">
        <x:f>TEXT(D1091,"mmm")</x:f>
        <x:v>May</x:v>
      </x:c>
      <x:c r="I1091" s="22" t="n">
        <x:f>MONTH(D1091)</x:f>
        <x:v>5</x:v>
      </x:c>
      <x:c r="J1091" s="22" t="n">
        <x:f>YEAR(D1091)</x:f>
        <x:v>2022</x:v>
      </x:c>
      <x:c r="K1091" t="str">
        <x:f>IF(F1091&gt;200,"Large Order","Standard Order")</x:f>
        <x:v>Large Order</x:v>
      </x:c>
    </x:row>
    <x:row r="1092">
      <x:c r="A1092" t="str">
        <x:v>Jehu Rudeforth</x:v>
      </x:c>
      <x:c r="B1092" t="str">
        <x:v>USA</x:v>
      </x:c>
      <x:c r="C1092" t="str">
        <x:v>White Choc</x:v>
      </x:c>
      <x:c r="D1092" s="14" t="n">
        <x:v>44719</x:v>
      </x:c>
      <x:c r="E1092" s="16" t="n">
        <x:v>6559</x:v>
      </x:c>
      <x:c r="F1092" s="18" t="n">
        <x:v>119</x:v>
      </x:c>
      <x:c r="G1092" s="20" t="n">
        <x:f>IFERROR(E1092/F1092,0)</x:f>
        <x:v>55.11764705882353</x:v>
      </x:c>
      <x:c r="H1092" t="str">
        <x:f>TEXT(D1092,"mmm")</x:f>
        <x:v>Jun</x:v>
      </x:c>
      <x:c r="I1092" s="22" t="n">
        <x:f>MONTH(D1092)</x:f>
        <x:v>6</x:v>
      </x:c>
      <x:c r="J1092" s="22" t="n">
        <x:f>YEAR(D1092)</x:f>
        <x:v>2022</x:v>
      </x:c>
      <x:c r="K1092" t="str">
        <x:f>IF(F1092&gt;200,"Large Order","Standard Order")</x:f>
        <x:v>Standard Order</x:v>
      </x:c>
    </x:row>
    <x:row r="1093">
      <x:c r="A1093" t="str">
        <x:v>Ches Bonnell</x:v>
      </x:c>
      <x:c r="B1093" t="str">
        <x:v>Canada</x:v>
      </x:c>
      <x:c r="C1093" t="str">
        <x:v>Organic Choco Syrup</x:v>
      </x:c>
      <x:c r="D1093" s="14" t="n">
        <x:v>44768</x:v>
      </x:c>
      <x:c r="E1093" s="16" t="n">
        <x:v>574</x:v>
      </x:c>
      <x:c r="F1093" s="18" t="n">
        <x:v>217</x:v>
      </x:c>
      <x:c r="G1093" s="20" t="n">
        <x:f>IFERROR(E1093/F1093,0)</x:f>
        <x:v>2.6451612903225805</x:v>
      </x:c>
      <x:c r="H1093" t="str">
        <x:f>TEXT(D1093,"mmm")</x:f>
        <x:v>Jul</x:v>
      </x:c>
      <x:c r="I1093" s="22" t="n">
        <x:f>MONTH(D1093)</x:f>
        <x:v>7</x:v>
      </x:c>
      <x:c r="J1093" s="22" t="n">
        <x:f>YEAR(D1093)</x:f>
        <x:v>2022</x:v>
      </x:c>
      <x:c r="K1093" t="str">
        <x:f>IF(F1093&gt;200,"Large Order","Standard Order")</x:f>
        <x:v>Large Order</x:v>
      </x:c>
    </x:row>
    <x:row r="1094">
      <x:c r="A1094" t="str">
        <x:v>Dotty Strutley</x:v>
      </x:c>
      <x:c r="B1094" t="str">
        <x:v>India</x:v>
      </x:c>
      <x:c r="C1094" t="str">
        <x:v>Eclairs</x:v>
      </x:c>
      <x:c r="D1094" s="14" t="n">
        <x:v>44770</x:v>
      </x:c>
      <x:c r="E1094" s="16" t="n">
        <x:v>2086</x:v>
      </x:c>
      <x:c r="F1094" s="18" t="n">
        <x:v>384</x:v>
      </x:c>
      <x:c r="G1094" s="20" t="n">
        <x:f>IFERROR(E1094/F1094,0)</x:f>
        <x:v>5.432291666666667</x:v>
      </x:c>
      <x:c r="H1094" t="str">
        <x:f>TEXT(D1094,"mmm")</x:f>
        <x:v>Jul</x:v>
      </x:c>
      <x:c r="I1094" s="22" t="n">
        <x:f>MONTH(D1094)</x:f>
        <x:v>7</x:v>
      </x:c>
      <x:c r="J1094" s="22" t="n">
        <x:f>YEAR(D1094)</x:f>
        <x:v>2022</x:v>
      </x:c>
      <x:c r="K1094" t="str">
        <x:f>IF(F1094&gt;200,"Large Order","Standard Order")</x:f>
        <x:v>Large Order</x:v>
      </x:c>
    </x:row>
    <x:row r="1095">
      <x:c r="A1095" t="str">
        <x:v>Karlen McCaffrey</x:v>
      </x:c>
      <x:c r="B1095" t="str">
        <x:v>India</x:v>
      </x:c>
      <x:c r="C1095" t="str">
        <x:v>70% Dark Bites</x:v>
      </x:c>
      <x:c r="D1095" s="14" t="n">
        <x:v>44704</x:v>
      </x:c>
      <x:c r="E1095" s="16" t="n">
        <x:v>5075</x:v>
      </x:c>
      <x:c r="F1095" s="18" t="n">
        <x:v>344</x:v>
      </x:c>
      <x:c r="G1095" s="20" t="n">
        <x:f>IFERROR(E1095/F1095,0)</x:f>
        <x:v>14.752906976744185</x:v>
      </x:c>
      <x:c r="H1095" t="str">
        <x:f>TEXT(D1095,"mmm")</x:f>
        <x:v>May</x:v>
      </x:c>
      <x:c r="I1095" s="22" t="n">
        <x:f>MONTH(D1095)</x:f>
        <x:v>5</x:v>
      </x:c>
      <x:c r="J1095" s="22" t="n">
        <x:f>YEAR(D1095)</x:f>
        <x:v>2022</x:v>
      </x:c>
      <x:c r="K1095" t="str">
        <x:f>IF(F1095&gt;200,"Large Order","Standard Order")</x:f>
        <x:v>Large Order</x:v>
      </x:c>
    </x:row>
  </x:sheetData>
  <x:pageMargins left="0.7" right="0.7" top="0.75" bottom="0.75" header="0.3" footer="0.3"/>
  <x:tableParts count="2">
    <x:tablePart xmlns:r="http://schemas.openxmlformats.org/officeDocument/2006/relationships" r:id="Re4fb86cb299c48bf"/>
    <x:tablePart xmlns:r="http://schemas.openxmlformats.org/officeDocument/2006/relationships" r:id="Rcc5e26087b0e4d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.880000114440918" hidden="0" customWidth="1"/>
    <x:col min="3" max="3" width="5.75" hidden="0" customWidth="1"/>
    <x:col min="4" max="4" width="11.880000114440918" hidden="0" customWidth="1"/>
    <x:col min="5" max="5" width="8.880000114440918" hidden="0" customWidth="1"/>
    <x:col min="6" max="6" width="20" hidden="0" customWidth="1"/>
    <x:col min="7" max="7" width="11.880000114440918" hidden="0" customWidth="1"/>
    <x:col min="8" max="8" width="5.75" hidden="0" customWidth="1"/>
    <x:col min="9" max="9" width="11.880000114440918" hidden="0" customWidth="1"/>
    <x:col min="10" max="10" width="5.75" hidden="0" customWidth="1"/>
    <x:col min="11" max="11" width="12" hidden="0" customWidth="1"/>
    <x:col min="12" max="12" width="5.75" hidden="0" customWidth="1"/>
    <x:col min="13" max="13" width="8.880000114440918" hidden="0" customWidth="1"/>
    <x:col min="14" max="14" width="9.75" hidden="0" customWidth="1"/>
  </x:cols>
  <x:sheetData>
    <x:row r="1" ht="28" customHeight="1">
      <x:c r="A1" s="26" t="str">
        <x:v>Chocolate Sales Analysis - Calculation Tables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</x:row>
    <x:row r="3">
      <x:c r="A3" s="33" t="str">
        <x:v>KPI</x:v>
      </x:c>
      <x:c r="B3" s="33" t="str">
        <x:v>Value</x:v>
      </x:c>
      <x:c r="D3" s="33" t="str">
        <x:v>Country</x:v>
      </x:c>
      <x:c r="E3" s="33" t="str">
        <x:v>Revenue</x:v>
      </x:c>
      <x:c r="F3" s="33" t="str">
        <x:v>Orders</x:v>
      </x:c>
      <x:c r="G3" s="33" t="str">
        <x:v>Revenue Share</x:v>
      </x:c>
      <x:c r="I3" s="33" t="str">
        <x:v>Month No</x:v>
      </x:c>
      <x:c r="J3" s="33" t="str">
        <x:v>Month</x:v>
      </x:c>
      <x:c r="K3" s="33" t="str">
        <x:v>Revenue</x:v>
      </x:c>
      <x:c r="L3" s="33" t="str">
        <x:v>Orders</x:v>
      </x:c>
    </x:row>
    <x:row r="4">
      <x:c r="A4" t="str">
        <x:v>Total Revenue</x:v>
      </x:c>
      <x:c r="B4" s="16" t="n">
        <x:f>SUM('Analysis Data'!E2:E1095)</x:f>
        <x:v>6183625</x:v>
      </x:c>
      <x:c r="D4" t="str">
        <x:v>Australia</x:v>
      </x:c>
      <x:c r="E4" s="16" t="n">
        <x:f>SUMIFS('Analysis Data'!$E$2:$E$1095,'Analysis Data'!$B$2:$B$1095,D4)</x:f>
        <x:v>1137367</x:v>
      </x:c>
      <x:c r="F4" t="n">
        <x:f>COUNTIFS('Analysis Data'!$B$2:$B$1095,D4)</x:f>
        <x:v>205</x:v>
      </x:c>
      <x:c r="G4" s="40" t="n">
        <x:f>E4/$B$4</x:f>
        <x:v>0.18393207867553418</x:v>
      </x:c>
      <x:c r="I4" t="n">
        <x:v>1</x:v>
      </x:c>
      <x:c r="J4" t="str">
        <x:v>Jan</x:v>
      </x:c>
      <x:c r="K4" s="16" t="n">
        <x:f>SUMIFS('Analysis Data'!$E$2:$E$1095,'Analysis Data'!$I$2:$I$1095,I4)</x:f>
        <x:v>896105</x:v>
      </x:c>
      <x:c r="L4" t="n">
        <x:f>COUNTIFS('Analysis Data'!$I$2:$I$1095,I4)</x:f>
        <x:v>154</x:v>
      </x:c>
    </x:row>
    <x:row r="5">
      <x:c r="A5" t="str">
        <x:v>Total Boxes Shipped</x:v>
      </x:c>
      <x:c r="B5" s="18" t="n">
        <x:f>SUM('Analysis Data'!F2:F1095)</x:f>
        <x:v>177007</x:v>
      </x:c>
      <x:c r="D5" t="str">
        <x:v>UK</x:v>
      </x:c>
      <x:c r="E5" s="16" t="n">
        <x:f>SUMIFS('Analysis Data'!$E$2:$E$1095,'Analysis Data'!$B$2:$B$1095,D5)</x:f>
        <x:v>1051792</x:v>
      </x:c>
      <x:c r="F5" t="n">
        <x:f>COUNTIFS('Analysis Data'!$B$2:$B$1095,D5)</x:f>
        <x:v>178</x:v>
      </x:c>
      <x:c r="G5" s="40" t="n">
        <x:f>E5/$B$4</x:f>
        <x:v>0.1700931088156219</x:v>
      </x:c>
      <x:c r="I5" t="n">
        <x:v>2</x:v>
      </x:c>
      <x:c r="J5" t="str">
        <x:v>Feb</x:v>
      </x:c>
      <x:c r="K5" s="16" t="n">
        <x:f>SUMIFS('Analysis Data'!$E$2:$E$1095,'Analysis Data'!$I$2:$I$1095,I5)</x:f>
        <x:v>699377</x:v>
      </x:c>
      <x:c r="L5" t="n">
        <x:f>COUNTIFS('Analysis Data'!$I$2:$I$1095,I5)</x:f>
        <x:v>110</x:v>
      </x:c>
    </x:row>
    <x:row r="6">
      <x:c r="A6" t="str">
        <x:v>Total Orders</x:v>
      </x:c>
      <x:c r="B6" s="18" t="n">
        <x:f>COUNTA('Analysis Data'!A2:A1095)</x:f>
        <x:v>1094</x:v>
      </x:c>
      <x:c r="D6" t="str">
        <x:v>India</x:v>
      </x:c>
      <x:c r="E6" s="16" t="n">
        <x:f>SUMIFS('Analysis Data'!$E$2:$E$1095,'Analysis Data'!$B$2:$B$1095,D6)</x:f>
        <x:v>1045800</x:v>
      </x:c>
      <x:c r="F6" t="n">
        <x:f>COUNTIFS('Analysis Data'!$B$2:$B$1095,D6)</x:f>
        <x:v>184</x:v>
      </x:c>
      <x:c r="G6" s="40" t="n">
        <x:f>E6/$B$4</x:f>
        <x:v>0.16912409791990943</x:v>
      </x:c>
      <x:c r="I6" t="n">
        <x:v>3</x:v>
      </x:c>
      <x:c r="J6" t="str">
        <x:v>Mar</x:v>
      </x:c>
      <x:c r="K6" s="16" t="n">
        <x:f>SUMIFS('Analysis Data'!$E$2:$E$1095,'Analysis Data'!$I$2:$I$1095,I6)</x:f>
        <x:v>749483</x:v>
      </x:c>
      <x:c r="L6" t="n">
        <x:f>COUNTIFS('Analysis Data'!$I$2:$I$1095,I6)</x:f>
        <x:v>131</x:v>
      </x:c>
    </x:row>
    <x:row r="7">
      <x:c r="A7" t="str">
        <x:v>Average Order Value</x:v>
      </x:c>
      <x:c r="B7" s="38" t="n">
        <x:f>AVERAGE('Analysis Data'!E2:E1095)</x:f>
        <x:v>5652.308043875685</x:v>
      </x:c>
      <x:c r="D7" t="str">
        <x:v>USA</x:v>
      </x:c>
      <x:c r="E7" s="16" t="n">
        <x:f>SUMIFS('Analysis Data'!$E$2:$E$1095,'Analysis Data'!$B$2:$B$1095,D7)</x:f>
        <x:v>1035349</x:v>
      </x:c>
      <x:c r="F7" t="n">
        <x:f>COUNTIFS('Analysis Data'!$B$2:$B$1095,D7)</x:f>
        <x:v>179</x:v>
      </x:c>
      <x:c r="G7" s="40" t="n">
        <x:f>E7/$B$4</x:f>
        <x:v>0.16743398896278477</x:v>
      </x:c>
      <x:c r="I7" t="n">
        <x:v>4</x:v>
      </x:c>
      <x:c r="J7" t="str">
        <x:v>Apr</x:v>
      </x:c>
      <x:c r="K7" s="16" t="n">
        <x:f>SUMIFS('Analysis Data'!$E$2:$E$1095,'Analysis Data'!$I$2:$I$1095,I7)</x:f>
        <x:v>674051</x:v>
      </x:c>
      <x:c r="L7" t="n">
        <x:f>COUNTIFS('Analysis Data'!$I$2:$I$1095,I7)</x:f>
        <x:v>118</x:v>
      </x:c>
    </x:row>
    <x:row r="8">
      <x:c r="A8" t="str">
        <x:v>Revenue per Box</x:v>
      </x:c>
      <x:c r="B8" s="38" t="n">
        <x:f>B4/B5</x:f>
        <x:v>34.93435287869971</x:v>
      </x:c>
      <x:c r="D8" t="str">
        <x:v>Canada</x:v>
      </x:c>
      <x:c r="E8" s="16" t="n">
        <x:f>SUMIFS('Analysis Data'!$E$2:$E$1095,'Analysis Data'!$B$2:$B$1095,D8)</x:f>
        <x:v>962899</x:v>
      </x:c>
      <x:c r="F8" t="n">
        <x:f>COUNTIFS('Analysis Data'!$B$2:$B$1095,D8)</x:f>
        <x:v>175</x:v>
      </x:c>
      <x:c r="G8" s="40" t="n">
        <x:f>E8/$B$4</x:f>
        <x:v>0.1557175604924296</x:v>
      </x:c>
      <x:c r="I8" t="n">
        <x:v>5</x:v>
      </x:c>
      <x:c r="J8" t="str">
        <x:v>May</x:v>
      </x:c>
      <x:c r="K8" s="16" t="n">
        <x:f>SUMIFS('Analysis Data'!$E$2:$E$1095,'Analysis Data'!$I$2:$I$1095,I8)</x:f>
        <x:v>752892</x:v>
      </x:c>
      <x:c r="L8" t="n">
        <x:f>COUNTIFS('Analysis Data'!$I$2:$I$1095,I8)</x:f>
        <x:v>135</x:v>
      </x:c>
    </x:row>
    <x:row r="9">
      <x:c r="D9" t="str">
        <x:v>New Zealand</x:v>
      </x:c>
      <x:c r="E9" s="16" t="n">
        <x:f>SUMIFS('Analysis Data'!$E$2:$E$1095,'Analysis Data'!$B$2:$B$1095,D9)</x:f>
        <x:v>950418</x:v>
      </x:c>
      <x:c r="F9" t="n">
        <x:f>COUNTIFS('Analysis Data'!$B$2:$B$1095,D9)</x:f>
        <x:v>173</x:v>
      </x:c>
      <x:c r="G9" s="40" t="n">
        <x:f>E9/$B$4</x:f>
        <x:v>0.15369916513372012</x:v>
      </x:c>
      <x:c r="I9" t="n">
        <x:v>6</x:v>
      </x:c>
      <x:c r="J9" t="str">
        <x:v>Jun</x:v>
      </x:c>
      <x:c r="K9" s="16" t="n">
        <x:f>SUMIFS('Analysis Data'!$E$2:$E$1095,'Analysis Data'!$I$2:$I$1095,I9)</x:f>
        <x:v>865144</x:v>
      </x:c>
      <x:c r="L9" t="n">
        <x:f>COUNTIFS('Analysis Data'!$I$2:$I$1095,I9)</x:f>
        <x:v>163</x:v>
      </x:c>
    </x:row>
    <x:row r="10">
      <x:c r="I10" t="n">
        <x:v>7</x:v>
      </x:c>
      <x:c r="J10" t="str">
        <x:v>Jul</x:v>
      </x:c>
      <x:c r="K10" s="16" t="n">
        <x:f>SUMIFS('Analysis Data'!$E$2:$E$1095,'Analysis Data'!$I$2:$I$1095,I10)</x:f>
        <x:v>803425</x:v>
      </x:c>
      <x:c r="L10" t="n">
        <x:f>COUNTIFS('Analysis Data'!$I$2:$I$1095,I10)</x:f>
        <x:v>149</x:v>
      </x:c>
    </x:row>
    <x:row r="11">
      <x:c r="A11" s="33" t="str">
        <x:v>Product</x:v>
      </x:c>
      <x:c r="B11" s="33" t="str">
        <x:v>Revenue</x:v>
      </x:c>
      <x:c r="C11" s="33" t="str">
        <x:v>Orders</x:v>
      </x:c>
      <x:c r="D11" s="33" t="str">
        <x:v>Revenue Share</x:v>
      </x:c>
      <x:c r="I11" t="n">
        <x:v>8</x:v>
      </x:c>
      <x:c r="J11" t="str">
        <x:v>Aug</x:v>
      </x:c>
      <x:c r="K11" s="16" t="n">
        <x:f>SUMIFS('Analysis Data'!$E$2:$E$1095,'Analysis Data'!$I$2:$I$1095,I11)</x:f>
        <x:v>743148</x:v>
      </x:c>
      <x:c r="L11" t="n">
        <x:f>COUNTIFS('Analysis Data'!$I$2:$I$1095,I11)</x:f>
        <x:v>134</x:v>
      </x:c>
    </x:row>
    <x:row r="12">
      <x:c r="A12" t="str">
        <x:v>Smooth Silky Salty</x:v>
      </x:c>
      <x:c r="B12" s="16" t="n">
        <x:f>SUMIFS('Analysis Data'!$E$2:$E$1095,'Analysis Data'!$C$2:$C$1095,A12)</x:f>
        <x:v>349692</x:v>
      </x:c>
      <x:c r="C12" t="n">
        <x:f>COUNTIFS('Analysis Data'!$C$2:$C$1095,A12)</x:f>
        <x:v>59</x:v>
      </x:c>
      <x:c r="D12" s="40" t="n">
        <x:f>B12/$B$4</x:f>
        <x:v>0.05655129475024763</x:v>
      </x:c>
    </x:row>
    <x:row r="13">
      <x:c r="A13" t="str">
        <x:v>50% Dark Bites</x:v>
      </x:c>
      <x:c r="B13" s="16" t="n">
        <x:f>SUMIFS('Analysis Data'!$E$2:$E$1095,'Analysis Data'!$C$2:$C$1095,A13)</x:f>
        <x:v>341712</x:v>
      </x:c>
      <x:c r="C13" t="n">
        <x:f>COUNTIFS('Analysis Data'!$C$2:$C$1095,A13)</x:f>
        <x:v>60</x:v>
      </x:c>
      <x:c r="D13" s="40" t="n">
        <x:f>B13/$B$4</x:f>
        <x:v>0.055260789585396916</x:v>
      </x:c>
      <x:c r="F13" s="33" t="str">
        <x:v>Sales Person</x:v>
      </x:c>
      <x:c r="G13" s="33" t="str">
        <x:v>Revenue</x:v>
      </x:c>
      <x:c r="H13" s="33" t="str">
        <x:v>Orders</x:v>
      </x:c>
      <x:c r="I13" s="33" t="str">
        <x:v>Revenue Share</x:v>
      </x:c>
      <x:c r="K13" s="33" t="str">
        <x:v>Order Size</x:v>
      </x:c>
      <x:c r="L13" s="33" t="str">
        <x:v>Orders</x:v>
      </x:c>
      <x:c r="M13" s="33" t="str">
        <x:v>Revenue</x:v>
      </x:c>
      <x:c r="N13" s="33" t="str">
        <x:v>Order Share</x:v>
      </x:c>
    </x:row>
    <x:row r="14">
      <x:c r="A14" t="str">
        <x:v>White Choc</x:v>
      </x:c>
      <x:c r="B14" s="16" t="n">
        <x:f>SUMIFS('Analysis Data'!$E$2:$E$1095,'Analysis Data'!$C$2:$C$1095,A14)</x:f>
        <x:v>329147</x:v>
      </x:c>
      <x:c r="C14" t="n">
        <x:f>COUNTIFS('Analysis Data'!$C$2:$C$1095,A14)</x:f>
        <x:v>58</x:v>
      </x:c>
      <x:c r="D14" s="40" t="n">
        <x:f>B14/$B$4</x:f>
        <x:v>0.05322880996179426</x:v>
      </x:c>
      <x:c r="F14" t="str">
        <x:v>Ches Bonnell</x:v>
      </x:c>
      <x:c r="G14" s="16" t="n">
        <x:f>SUMIFS('Analysis Data'!$E$2:$E$1095,'Analysis Data'!$A$2:$A$1095,F14)</x:f>
        <x:v>320901</x:v>
      </x:c>
      <x:c r="H14" t="n">
        <x:f>COUNTIFS('Analysis Data'!$A$2:$A$1095,F14)</x:f>
        <x:v>48</x:v>
      </x:c>
      <x:c r="I14" s="40" t="n">
        <x:f>G14/$B$4</x:f>
        <x:v>0.05189528795811518</x:v>
      </x:c>
      <x:c r="K14" t="str">
        <x:v>Standard Order</x:v>
      </x:c>
      <x:c r="L14" t="n">
        <x:f>COUNTIFS('Analysis Data'!$K$2:$K$1095,K14)</x:f>
        <x:v>762</x:v>
      </x:c>
      <x:c r="M14" s="16" t="n">
        <x:f>SUMIFS('Analysis Data'!$E$2:$E$1095,'Analysis Data'!$K$2:$K$1095,K14)</x:f>
        <x:v>4355897</x:v>
      </x:c>
      <x:c r="N14" s="40" t="n">
        <x:f>L14/$B$6</x:f>
        <x:v>0.696526508226691</x:v>
      </x:c>
    </x:row>
    <x:row r="15">
      <x:c r="A15" t="str">
        <x:v>Peanut Butter Cubes</x:v>
      </x:c>
      <x:c r="B15" s="16" t="n">
        <x:f>SUMIFS('Analysis Data'!$E$2:$E$1095,'Analysis Data'!$C$2:$C$1095,A15)</x:f>
        <x:v>324842</x:v>
      </x:c>
      <x:c r="C15" t="n">
        <x:f>COUNTIFS('Analysis Data'!$C$2:$C$1095,A15)</x:f>
        <x:v>49</x:v>
      </x:c>
      <x:c r="D15" s="40" t="n">
        <x:f>B15/$B$4</x:f>
        <x:v>0.052532616386019526</x:v>
      </x:c>
      <x:c r="F15" t="str">
        <x:v>Oby Sorrel</x:v>
      </x:c>
      <x:c r="G15" s="16" t="n">
        <x:f>SUMIFS('Analysis Data'!$E$2:$E$1095,'Analysis Data'!$A$2:$A$1095,F15)</x:f>
        <x:v>316645</x:v>
      </x:c>
      <x:c r="H15" t="n">
        <x:f>COUNTIFS('Analysis Data'!$A$2:$A$1095,F15)</x:f>
        <x:v>49</x:v>
      </x:c>
      <x:c r="I15" s="40" t="n">
        <x:f>G15/$B$4</x:f>
        <x:v>0.05120701853686147</x:v>
      </x:c>
      <x:c r="K15" t="str">
        <x:v>Large Order</x:v>
      </x:c>
      <x:c r="L15" t="n">
        <x:f>COUNTIFS('Analysis Data'!$K$2:$K$1095,K15)</x:f>
        <x:v>332</x:v>
      </x:c>
      <x:c r="M15" s="16" t="n">
        <x:f>SUMIFS('Analysis Data'!$E$2:$E$1095,'Analysis Data'!$K$2:$K$1095,K15)</x:f>
        <x:v>1827728</x:v>
      </x:c>
      <x:c r="N15" s="40" t="n">
        <x:f>L15/$B$6</x:f>
        <x:v>0.30347349177330896</x:v>
      </x:c>
    </x:row>
    <x:row r="16">
      <x:c r="A16" t="str">
        <x:v>Eclairs</x:v>
      </x:c>
      <x:c r="B16" s="16" t="n">
        <x:f>SUMIFS('Analysis Data'!$E$2:$E$1095,'Analysis Data'!$C$2:$C$1095,A16)</x:f>
        <x:v>312445</x:v>
      </x:c>
      <x:c r="C16" t="n">
        <x:f>COUNTIFS('Analysis Data'!$C$2:$C$1095,A16)</x:f>
        <x:v>60</x:v>
      </x:c>
      <x:c r="D16" s="40" t="n">
        <x:f>B16/$B$4</x:f>
        <x:v>0.0505278052922032</x:v>
      </x:c>
      <x:c r="F16" t="str">
        <x:v>Madelene Upcott</x:v>
      </x:c>
      <x:c r="G16" s="16" t="n">
        <x:f>SUMIFS('Analysis Data'!$E$2:$E$1095,'Analysis Data'!$A$2:$A$1095,F16)</x:f>
        <x:v>316099</x:v>
      </x:c>
      <x:c r="H16" t="n">
        <x:f>COUNTIFS('Analysis Data'!$A$2:$A$1095,F16)</x:f>
        <x:v>45</x:v>
      </x:c>
      <x:c r="I16" s="40" t="n">
        <x:f>G16/$B$4</x:f>
        <x:v>0.05111872081505589</x:v>
      </x:c>
    </x:row>
    <x:row r="17">
      <x:c r="A17" t="str">
        <x:v>99% Dark &amp; Pure</x:v>
      </x:c>
      <x:c r="B17" s="16" t="n">
        <x:f>SUMIFS('Analysis Data'!$E$2:$E$1095,'Analysis Data'!$C$2:$C$1095,A17)</x:f>
        <x:v>299796</x:v>
      </x:c>
      <x:c r="C17" t="n">
        <x:f>COUNTIFS('Analysis Data'!$C$2:$C$1095,A17)</x:f>
        <x:v>49</x:v>
      </x:c>
      <x:c r="D17" s="40" t="n">
        <x:f>B17/$B$4</x:f>
        <x:v>0.048482241403707375</x:v>
      </x:c>
      <x:c r="F17" t="str">
        <x:v>Brien Boise</x:v>
      </x:c>
      <x:c r="G17" s="16" t="n">
        <x:f>SUMIFS('Analysis Data'!$E$2:$E$1095,'Analysis Data'!$A$2:$A$1095,F17)</x:f>
        <x:v>312816</x:v>
      </x:c>
      <x:c r="H17" t="n">
        <x:f>COUNTIFS('Analysis Data'!$A$2:$A$1095,F17)</x:f>
        <x:v>53</x:v>
      </x:c>
      <x:c r="I17" s="40" t="n">
        <x:f>G17/$B$4</x:f>
        <x:v>0.05058780246214801</x:v>
      </x:c>
    </x:row>
    <x:row r="18">
      <x:c r="A18" t="str">
        <x:v>85% Dark Bars</x:v>
      </x:c>
      <x:c r="B18" s="16" t="n">
        <x:f>SUMIFS('Analysis Data'!$E$2:$E$1095,'Analysis Data'!$C$2:$C$1095,A18)</x:f>
        <x:v>299229</x:v>
      </x:c>
      <x:c r="C18" t="n">
        <x:f>COUNTIFS('Analysis Data'!$C$2:$C$1095,A18)</x:f>
        <x:v>50</x:v>
      </x:c>
      <x:c r="D18" s="40" t="n">
        <x:f>B18/$B$4</x:f>
        <x:v>0.04839054761567851</x:v>
      </x:c>
      <x:c r="F18" t="str">
        <x:v>Kelci Walkden</x:v>
      </x:c>
      <x:c r="G18" s="16" t="n">
        <x:f>SUMIFS('Analysis Data'!$E$2:$E$1095,'Analysis Data'!$A$2:$A$1095,F18)</x:f>
        <x:v>311710</x:v>
      </x:c>
      <x:c r="H18" t="n">
        <x:f>COUNTIFS('Analysis Data'!$A$2:$A$1095,F18)</x:f>
        <x:v>54</x:v>
      </x:c>
      <x:c r="I18" s="40" t="n">
        <x:f>G18/$B$4</x:f>
        <x:v>0.050408942974388</x:v>
      </x:c>
    </x:row>
    <x:row r="19">
      <x:c r="A19" t="str">
        <x:v>Organic Choco Syrup</x:v>
      </x:c>
      <x:c r="B19" s="16" t="n">
        <x:f>SUMIFS('Analysis Data'!$E$2:$E$1095,'Analysis Data'!$C$2:$C$1095,A19)</x:f>
        <x:v>294700</x:v>
      </x:c>
      <x:c r="C19" t="n">
        <x:f>COUNTIFS('Analysis Data'!$C$2:$C$1095,A19)</x:f>
        <x:v>52</x:v>
      </x:c>
      <x:c r="D19" s="40" t="n">
        <x:f>B19/$B$4</x:f>
        <x:v>0.047658129333522</x:v>
      </x:c>
      <x:c r="F19" t="str">
        <x:v>Van Tuxwell</x:v>
      </x:c>
      <x:c r="G19" s="16" t="n">
        <x:f>SUMIFS('Analysis Data'!$E$2:$E$1095,'Analysis Data'!$A$2:$A$1095,F19)</x:f>
        <x:v>303149</x:v>
      </x:c>
      <x:c r="H19" t="n">
        <x:f>COUNTIFS('Analysis Data'!$A$2:$A$1095,F19)</x:f>
        <x:v>51</x:v>
      </x:c>
      <x:c r="I19" s="40" t="n">
        <x:f>G19/$B$4</x:f>
        <x:v>0.04902447997735956</x:v>
      </x:c>
    </x:row>
    <x:row r="20">
      <x:c r="A20" t="str">
        <x:v>Spicy Special Slims</x:v>
      </x:c>
      <x:c r="B20" s="16" t="n">
        <x:f>SUMIFS('Analysis Data'!$E$2:$E$1095,'Analysis Data'!$C$2:$C$1095,A20)</x:f>
        <x:v>293454</x:v>
      </x:c>
      <x:c r="C20" t="n">
        <x:f>COUNTIFS('Analysis Data'!$C$2:$C$1095,A20)</x:f>
        <x:v>54</x:v>
      </x:c>
      <x:c r="D20" s="40" t="n">
        <x:f>B20/$B$4</x:f>
        <x:v>0.047456629404273386</x:v>
      </x:c>
      <x:c r="F20" t="str">
        <x:v>Dennison Crosswaite</x:v>
      </x:c>
      <x:c r="G20" s="16" t="n">
        <x:f>SUMIFS('Analysis Data'!$E$2:$E$1095,'Analysis Data'!$A$2:$A$1095,F20)</x:f>
        <x:v>291669</x:v>
      </x:c>
      <x:c r="H20" t="n">
        <x:f>COUNTIFS('Analysis Data'!$A$2:$A$1095,F20)</x:f>
        <x:v>49</x:v>
      </x:c>
      <x:c r="I20" s="40" t="n">
        <x:f>G20/$B$4</x:f>
        <x:v>0.04716796377529362</x:v>
      </x:c>
    </x:row>
    <x:row r="21">
      <x:c r="A21" t="str">
        <x:v>Mint Chip Choco</x:v>
      </x:c>
      <x:c r="B21" s="16" t="n">
        <x:f>SUMIFS('Analysis Data'!$E$2:$E$1095,'Analysis Data'!$C$2:$C$1095,A21)</x:f>
        <x:v>283969</x:v>
      </x:c>
      <x:c r="C21" t="n">
        <x:f>COUNTIFS('Analysis Data'!$C$2:$C$1095,A21)</x:f>
        <x:v>45</x:v>
      </x:c>
      <x:c r="D21" s="40" t="n">
        <x:f>B21/$B$4</x:f>
        <x:v>0.04592273949342012</x:v>
      </x:c>
      <x:c r="F21" t="str">
        <x:v>Beverie Moffet</x:v>
      </x:c>
      <x:c r="G21" s="16" t="n">
        <x:f>SUMIFS('Analysis Data'!$E$2:$E$1095,'Analysis Data'!$A$2:$A$1095,F21)</x:f>
        <x:v>278922</x:v>
      </x:c>
      <x:c r="H21" t="n">
        <x:f>COUNTIFS('Analysis Data'!$A$2:$A$1095,F21)</x:f>
        <x:v>50</x:v>
      </x:c>
      <x:c r="I21" s="40" t="n">
        <x:f>G21/$B$4</x:f>
        <x:v>0.04510655157775577</x:v>
      </x:c>
    </x:row>
    <x:row r="22">
      <x:c r="A22" t="str">
        <x:v>Almond Choco</x:v>
      </x:c>
      <x:c r="B22" s="16" t="n">
        <x:f>SUMIFS('Analysis Data'!$E$2:$E$1095,'Analysis Data'!$C$2:$C$1095,A22)</x:f>
        <x:v>277536</x:v>
      </x:c>
      <x:c r="C22" t="n">
        <x:f>COUNTIFS('Analysis Data'!$C$2:$C$1095,A22)</x:f>
        <x:v>48</x:v>
      </x:c>
      <x:c r="D22" s="40" t="n">
        <x:f>B22/$B$4</x:f>
        <x:v>0.04488241120701854</x:v>
      </x:c>
      <x:c r="F22" t="str">
        <x:v>Kaine Padly</x:v>
      </x:c>
      <x:c r="G22" s="16" t="n">
        <x:f>SUMIFS('Analysis Data'!$E$2:$E$1095,'Analysis Data'!$A$2:$A$1095,F22)</x:f>
        <x:v>266490</x:v>
      </x:c>
      <x:c r="H22" t="n">
        <x:f>COUNTIFS('Analysis Data'!$A$2:$A$1095,F22)</x:f>
        <x:v>45</x:v>
      </x:c>
      <x:c r="I22" s="40" t="n">
        <x:f>G22/$B$4</x:f>
        <x:v>0.04309608037356728</x:v>
      </x:c>
    </x:row>
    <x:row r="23">
      <x:c r="A23" t="str">
        <x:v>Manuka Honey Choco</x:v>
      </x:c>
      <x:c r="B23" s="16" t="n">
        <x:f>SUMIFS('Analysis Data'!$E$2:$E$1095,'Analysis Data'!$C$2:$C$1095,A23)</x:f>
        <x:v>275541</x:v>
      </x:c>
      <x:c r="C23" t="n">
        <x:f>COUNTIFS('Analysis Data'!$C$2:$C$1095,A23)</x:f>
        <x:v>45</x:v>
      </x:c>
      <x:c r="D23" s="40" t="n">
        <x:f>B23/$B$4</x:f>
        <x:v>0.04455978491580586</x:v>
      </x:c>
      <x:c r="F23" t="str">
        <x:v>Marney O'Breen</x:v>
      </x:c>
      <x:c r="G23" s="16" t="n">
        <x:f>SUMIFS('Analysis Data'!$E$2:$E$1095,'Analysis Data'!$A$2:$A$1095,F23)</x:f>
        <x:v>259742</x:v>
      </x:c>
      <x:c r="H23" t="n">
        <x:f>COUNTIFS('Analysis Data'!$A$2:$A$1095,F23)</x:f>
        <x:v>45</x:v>
      </x:c>
      <x:c r="I23" s="40" t="n">
        <x:f>G23/$B$4</x:f>
        <x:v>0.04200481109381633</x:v>
      </x:c>
    </x:row>
    <x:row r="24">
      <x:c r="A24" t="str">
        <x:v>Milk Bars</x:v>
      </x:c>
      <x:c r="B24" s="16" t="n">
        <x:f>SUMIFS('Analysis Data'!$E$2:$E$1095,'Analysis Data'!$C$2:$C$1095,A24)</x:f>
        <x:v>269248</x:v>
      </x:c>
      <x:c r="C24" t="n">
        <x:f>COUNTIFS('Analysis Data'!$C$2:$C$1095,A24)</x:f>
        <x:v>49</x:v>
      </x:c>
      <x:c r="D24" s="40" t="n">
        <x:f>B24/$B$4</x:f>
        <x:v>0.043542097070892884</x:v>
      </x:c>
      <x:c r="F24" t="str">
        <x:v>Barr Faughny</x:v>
      </x:c>
      <x:c r="G24" s="16" t="n">
        <x:f>SUMIFS('Analysis Data'!$E$2:$E$1095,'Analysis Data'!$A$2:$A$1095,F24)</x:f>
        <x:v>258713</x:v>
      </x:c>
      <x:c r="H24" t="n">
        <x:f>COUNTIFS('Analysis Data'!$A$2:$A$1095,F24)</x:f>
        <x:v>43</x:v>
      </x:c>
      <x:c r="I24" s="40" t="n">
        <x:f>G24/$B$4</x:f>
        <x:v>0.04183840384887505</x:v>
      </x:c>
    </x:row>
    <x:row r="25">
      <x:c r="A25" t="str">
        <x:v>Raspberry Choco</x:v>
      </x:c>
      <x:c r="B25" s="16" t="n">
        <x:f>SUMIFS('Analysis Data'!$E$2:$E$1095,'Analysis Data'!$C$2:$C$1095,A25)</x:f>
        <x:v>264740</x:v>
      </x:c>
      <x:c r="C25" t="n">
        <x:f>COUNTIFS('Analysis Data'!$C$2:$C$1095,A25)</x:f>
        <x:v>48</x:v>
      </x:c>
      <x:c r="D25" s="40" t="n">
        <x:f>B25/$B$4</x:f>
        <x:v>0.04281307485495967</x:v>
      </x:c>
      <x:c r="F25" t="str">
        <x:v>Roddy Speechley</x:v>
      </x:c>
      <x:c r="G25" s="16" t="n">
        <x:f>SUMIFS('Analysis Data'!$E$2:$E$1095,'Analysis Data'!$A$2:$A$1095,F25)</x:f>
        <x:v>251062</x:v>
      </x:c>
      <x:c r="H25" t="n">
        <x:f>COUNTIFS('Analysis Data'!$A$2:$A$1095,F25)</x:f>
        <x:v>43</x:v>
      </x:c>
      <x:c r="I25" s="40" t="n">
        <x:f>G25/$B$4</x:f>
        <x:v>0.04060110372152257</x:v>
      </x:c>
    </x:row>
    <x:row r="26">
      <x:c r="A26" t="str">
        <x:v>After Nines</x:v>
      </x:c>
      <x:c r="B26" s="16" t="n">
        <x:f>SUMIFS('Analysis Data'!$E$2:$E$1095,'Analysis Data'!$C$2:$C$1095,A26)</x:f>
        <x:v>261331</x:v>
      </x:c>
      <x:c r="C26" t="n">
        <x:f>COUNTIFS('Analysis Data'!$C$2:$C$1095,A26)</x:f>
        <x:v>50</x:v>
      </x:c>
      <x:c r="D26" s="40" t="n">
        <x:f>B26/$B$4</x:f>
        <x:v>0.04226178010471204</x:v>
      </x:c>
      <x:c r="F26" t="str">
        <x:v>Gunar Cockshoot</x:v>
      </x:c>
      <x:c r="G26" s="16" t="n">
        <x:f>SUMIFS('Analysis Data'!$E$2:$E$1095,'Analysis Data'!$A$2:$A$1095,F26)</x:f>
        <x:v>238483</x:v>
      </x:c>
      <x:c r="H26" t="n">
        <x:f>COUNTIFS('Analysis Data'!$A$2:$A$1095,F26)</x:f>
        <x:v>43</x:v>
      </x:c>
      <x:c r="I26" s="40" t="n">
        <x:f>G26/$B$4</x:f>
        <x:v>0.03856686005377105</x:v>
      </x:c>
    </x:row>
    <x:row r="27">
      <x:c r="A27" t="str">
        <x:v>Fruit &amp; Nut Bars</x:v>
      </x:c>
      <x:c r="B27" s="16" t="n">
        <x:f>SUMIFS('Analysis Data'!$E$2:$E$1095,'Analysis Data'!$C$2:$C$1095,A27)</x:f>
        <x:v>259147</x:v>
      </x:c>
      <x:c r="C27" t="n">
        <x:f>COUNTIFS('Analysis Data'!$C$2:$C$1095,A27)</x:f>
        <x:v>50</x:v>
      </x:c>
      <x:c r="D27" s="40" t="n">
        <x:f>B27/$B$4</x:f>
        <x:v>0.04190858921748974</x:v>
      </x:c>
      <x:c r="F27" t="str">
        <x:v>Gigi Bohling</x:v>
      </x:c>
      <x:c r="G27" s="16" t="n">
        <x:f>SUMIFS('Analysis Data'!$E$2:$E$1095,'Analysis Data'!$A$2:$A$1095,F27)</x:f>
        <x:v>232666</x:v>
      </x:c>
      <x:c r="H27" t="n">
        <x:f>COUNTIFS('Analysis Data'!$A$2:$A$1095,F27)</x:f>
        <x:v>47</x:v>
      </x:c>
      <x:c r="I27" s="40" t="n">
        <x:f>G27/$B$4</x:f>
        <x:v>0.03762614970991934</x:v>
      </x:c>
    </x:row>
    <x:row r="28">
      <x:c r="A28" t="str">
        <x:v>Drinking Coco</x:v>
      </x:c>
      <x:c r="B28" s="16" t="n">
        <x:f>SUMIFS('Analysis Data'!$E$2:$E$1095,'Analysis Data'!$C$2:$C$1095,A28)</x:f>
        <x:v>256655</x:v>
      </x:c>
      <x:c r="C28" t="n">
        <x:f>COUNTIFS('Analysis Data'!$C$2:$C$1095,A28)</x:f>
        <x:v>56</x:v>
      </x:c>
      <x:c r="D28" s="40" t="n">
        <x:f>B28/$B$4</x:f>
        <x:v>0.0415055893589925</x:v>
      </x:c>
      <x:c r="F28" t="str">
        <x:v>Karlen McCaffrey</x:v>
      </x:c>
      <x:c r="G28" s="16" t="n">
        <x:f>SUMIFS('Analysis Data'!$E$2:$E$1095,'Analysis Data'!$A$2:$A$1095,F28)</x:f>
        <x:v>223895</x:v>
      </x:c>
      <x:c r="H28" t="n">
        <x:f>COUNTIFS('Analysis Data'!$A$2:$A$1095,F28)</x:f>
        <x:v>47</x:v>
      </x:c>
      <x:c r="I28" s="40" t="n">
        <x:f>G28/$B$4</x:f>
        <x:v>0.03620772605065799</x:v>
      </x:c>
    </x:row>
    <x:row r="29">
      <x:c r="A29" t="str">
        <x:v>Orange Choco</x:v>
      </x:c>
      <x:c r="B29" s="16" t="n">
        <x:f>SUMIFS('Analysis Data'!$E$2:$E$1095,'Analysis Data'!$C$2:$C$1095,A29)</x:f>
        <x:v>256144</x:v>
      </x:c>
      <x:c r="C29" t="n">
        <x:f>COUNTIFS('Analysis Data'!$C$2:$C$1095,A29)</x:f>
        <x:v>47</x:v>
      </x:c>
      <x:c r="D29" s="40" t="n">
        <x:f>B29/$B$4</x:f>
        <x:v>0.04142295174755908</x:v>
      </x:c>
      <x:c r="F29" t="str">
        <x:v>Jehu Rudeforth</x:v>
      </x:c>
      <x:c r="G29" s="16" t="n">
        <x:f>SUMIFS('Analysis Data'!$E$2:$E$1095,'Analysis Data'!$A$2:$A$1095,F29)</x:f>
        <x:v>220976</x:v>
      </x:c>
      <x:c r="H29" t="n">
        <x:f>COUNTIFS('Analysis Data'!$A$2:$A$1095,F29)</x:f>
        <x:v>43</x:v>
      </x:c>
      <x:c r="I29" s="40" t="n">
        <x:f>G29/$B$4</x:f>
        <x:v>0.035735672845620486</x:v>
      </x:c>
    </x:row>
    <x:row r="30">
      <x:c r="A30" t="str">
        <x:v>Baker's Choco Chips</x:v>
      </x:c>
      <x:c r="B30" s="16" t="n">
        <x:f>SUMIFS('Analysis Data'!$E$2:$E$1095,'Analysis Data'!$C$2:$C$1095,A30)</x:f>
        <x:v>249613</x:v>
      </x:c>
      <x:c r="C30" t="n">
        <x:f>COUNTIFS('Analysis Data'!$C$2:$C$1095,A30)</x:f>
        <x:v>41</x:v>
      </x:c>
      <x:c r="D30" s="40" t="n">
        <x:f>B30/$B$4</x:f>
        <x:v>0.04036677515211547</x:v>
      </x:c>
      <x:c r="F30" t="str">
        <x:v>Jan Morforth</x:v>
      </x:c>
      <x:c r="G30" s="16" t="n">
        <x:f>SUMIFS('Analysis Data'!$E$2:$E$1095,'Analysis Data'!$A$2:$A$1095,F30)</x:f>
        <x:v>219667</x:v>
      </x:c>
      <x:c r="H30" t="n">
        <x:f>COUNTIFS('Analysis Data'!$A$2:$A$1095,F30)</x:f>
        <x:v>39</x:v>
      </x:c>
      <x:c r="I30" s="40" t="n">
        <x:f>G30/$B$4</x:f>
        <x:v>0.035523984717702</x:v>
      </x:c>
    </x:row>
    <x:row r="31">
      <x:c r="A31" t="str">
        <x:v>Choco Coated Almonds</x:v>
      </x:c>
      <x:c r="B31" s="16" t="n">
        <x:f>SUMIFS('Analysis Data'!$E$2:$E$1095,'Analysis Data'!$C$2:$C$1095,A31)</x:f>
        <x:v>241486</x:v>
      </x:c>
      <x:c r="C31" t="n">
        <x:f>COUNTIFS('Analysis Data'!$C$2:$C$1095,A31)</x:f>
        <x:v>39</x:v>
      </x:c>
      <x:c r="D31" s="40" t="n">
        <x:f>B31/$B$4</x:f>
        <x:v>0.03905249752370171</x:v>
      </x:c>
      <x:c r="F31" t="str">
        <x:v>Curtice Advani</x:v>
      </x:c>
      <x:c r="G31" s="16" t="n">
        <x:f>SUMIFS('Analysis Data'!$E$2:$E$1095,'Analysis Data'!$A$2:$A$1095,F31)</x:f>
        <x:v>216461</x:v>
      </x:c>
      <x:c r="H31" t="n">
        <x:f>COUNTIFS('Analysis Data'!$A$2:$A$1095,F31)</x:f>
        <x:v>46</x:v>
      </x:c>
      <x:c r="I31" s="40" t="n">
        <x:f>G31/$B$4</x:f>
        <x:v>0.03500551860761285</x:v>
      </x:c>
    </x:row>
    <x:row r="32">
      <x:c r="A32" t="str">
        <x:v>Caramel Stuffed Bars</x:v>
      </x:c>
      <x:c r="B32" s="16" t="n">
        <x:f>SUMIFS('Analysis Data'!$E$2:$E$1095,'Analysis Data'!$C$2:$C$1095,A32)</x:f>
        <x:v>231588</x:v>
      </x:c>
      <x:c r="C32" t="n">
        <x:f>COUNTIFS('Analysis Data'!$C$2:$C$1095,A32)</x:f>
        <x:v>43</x:v>
      </x:c>
      <x:c r="D32" s="40" t="n">
        <x:f>B32/$B$4</x:f>
        <x:v>0.037451818310457054</x:v>
      </x:c>
      <x:c r="F32" t="str">
        <x:v>Rafaelita Blaksland</x:v>
      </x:c>
      <x:c r="G32" s="16" t="n">
        <x:f>SUMIFS('Analysis Data'!$E$2:$E$1095,'Analysis Data'!$A$2:$A$1095,F32)</x:f>
        <x:v>210245</x:v>
      </x:c>
      <x:c r="H32" t="n">
        <x:f>COUNTIFS('Analysis Data'!$A$2:$A$1095,F32)</x:f>
        <x:v>34</x:v>
      </x:c>
      <x:c r="I32" s="40" t="n">
        <x:f>G32/$B$4</x:f>
        <x:v>0.034000283005518606</x:v>
      </x:c>
    </x:row>
    <x:row r="33">
      <x:c r="A33" t="str">
        <x:v>70% Dark Bites</x:v>
      </x:c>
      <x:c r="B33" s="16" t="n">
        <x:f>SUMIFS('Analysis Data'!$E$2:$E$1095,'Analysis Data'!$C$2:$C$1095,A33)</x:f>
        <x:v>211610</x:v>
      </x:c>
      <x:c r="C33" t="n">
        <x:f>COUNTIFS('Analysis Data'!$C$2:$C$1095,A33)</x:f>
        <x:v>42</x:v>
      </x:c>
      <x:c r="D33" s="40" t="n">
        <x:f>B33/$B$4</x:f>
        <x:v>0.03422102731003254</x:v>
      </x:c>
      <x:c r="F33" t="str">
        <x:v>Husein Augar</x:v>
      </x:c>
      <x:c r="G33" s="16" t="n">
        <x:f>SUMIFS('Analysis Data'!$E$2:$E$1095,'Analysis Data'!$A$2:$A$1095,F33)</x:f>
        <x:v>205212</x:v>
      </x:c>
      <x:c r="H33" t="n">
        <x:f>COUNTIFS('Analysis Data'!$A$2:$A$1095,F33)</x:f>
        <x:v>38</x:v>
      </x:c>
      <x:c r="I33" s="40" t="n">
        <x:f>G33/$B$4</x:f>
        <x:v>0.03318635913400311</x:v>
      </x:c>
    </x:row>
    <x:row r="34">
      <x:c r="F34" t="str">
        <x:v>Andria Kimpton</x:v>
      </x:c>
      <x:c r="G34" s="16" t="n">
        <x:f>SUMIFS('Analysis Data'!$E$2:$E$1095,'Analysis Data'!$A$2:$A$1095,F34)</x:f>
        <x:v>201747</x:v>
      </x:c>
      <x:c r="H34" t="n">
        <x:f>COUNTIFS('Analysis Data'!$A$2:$A$1095,F34)</x:f>
        <x:v>39</x:v>
      </x:c>
      <x:c r="I34" s="40" t="n">
        <x:f>G34/$B$4</x:f>
        <x:v>0.03262600820716004</x:v>
      </x:c>
    </x:row>
    <x:row r="35">
      <x:c r="F35" t="str">
        <x:v>Mallorie Waber</x:v>
      </x:c>
      <x:c r="G35" s="16" t="n">
        <x:f>SUMIFS('Analysis Data'!$E$2:$E$1095,'Analysis Data'!$A$2:$A$1095,F35)</x:f>
        <x:v>200592</x:v>
      </x:c>
      <x:c r="H35" t="n">
        <x:f>COUNTIFS('Analysis Data'!$A$2:$A$1095,F35)</x:f>
        <x:v>41</x:v>
      </x:c>
      <x:c r="I35" s="40" t="n">
        <x:f>G35/$B$4</x:f>
        <x:v>0.032439224564879014</x:v>
      </x:c>
    </x:row>
    <x:row r="36">
      <x:c r="F36" t="str">
        <x:v>Camilla Castle</x:v>
      </x:c>
      <x:c r="G36" s="16" t="n">
        <x:f>SUMIFS('Analysis Data'!$E$2:$E$1095,'Analysis Data'!$A$2:$A$1095,F36)</x:f>
        <x:v>196616</x:v>
      </x:c>
      <x:c r="H36" t="n">
        <x:f>COUNTIFS('Analysis Data'!$A$2:$A$1095,F36)</x:f>
        <x:v>32</x:v>
      </x:c>
      <x:c r="I36" s="40" t="n">
        <x:f>G36/$B$4</x:f>
        <x:v>0.03179623602660252</x:v>
      </x:c>
    </x:row>
    <x:row r="37">
      <x:c r="F37" t="str">
        <x:v>Dotty Strutley</x:v>
      </x:c>
      <x:c r="G37" s="16" t="n">
        <x:f>SUMIFS('Analysis Data'!$E$2:$E$1095,'Analysis Data'!$A$2:$A$1095,F37)</x:f>
        <x:v>190624</x:v>
      </x:c>
      <x:c r="H37" t="n">
        <x:f>COUNTIFS('Analysis Data'!$A$2:$A$1095,F37)</x:f>
        <x:v>36</x:v>
      </x:c>
      <x:c r="I37" s="40" t="n">
        <x:f>G37/$B$4</x:f>
        <x:v>0.030827225130890052</x:v>
      </x:c>
    </x:row>
    <x:row r="38">
      <x:c r="F38" t="str">
        <x:v>Wilone O'Kielt</x:v>
      </x:c>
      <x:c r="G38" s="16" t="n">
        <x:f>SUMIFS('Analysis Data'!$E$2:$E$1095,'Analysis Data'!$A$2:$A$1095,F38)</x:f>
        <x:v>138523</x:v>
      </x:c>
      <x:c r="H38" t="n">
        <x:f>COUNTIFS('Analysis Data'!$A$2:$A$1095,F38)</x:f>
        <x:v>34</x:v>
      </x:c>
      <x:c r="I38" s="40" t="n">
        <x:f>G38/$B$4</x:f>
        <x:v>0.022401584830904202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5" customHeight="1">
      <x:c r="A1" s="50" t="str">
        <x:v>CHOCOLATE SALES PERFORMANCE DASHBOARD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</x:row>
    <x:row r="2" ht="25" customHeight="1">
      <x:c r="A2" s="50"/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</x:row>
    <x:row r="3" ht="20" customHeight="1">
      <x:c r="A3" s="56" t="str">
        <x:v>Sales snapshot | January–August 2022 | Source: 1,094 transactions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  <x:c r="M3" s="56"/>
      <x:c r="N3" s="56"/>
      <x:c r="O3" s="56"/>
    </x:row>
    <x:row r="4" ht="20" customHeight="1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66"/>
      <x:c r="M4" s="66"/>
      <x:c r="N4" s="66"/>
      <x:c r="O4" s="66"/>
    </x:row>
    <x:row r="5" ht="20" customHeight="1">
      <x:c r="A5" s="62" t="str">
        <x:v>Total Revenue</x:v>
      </x:c>
      <x:c r="B5" s="62"/>
      <x:c r="C5" s="62"/>
      <x:c r="D5" s="62" t="str">
        <x:v>Boxes Shipped</x:v>
      </x:c>
      <x:c r="E5" s="62"/>
      <x:c r="F5" s="62"/>
      <x:c r="G5" s="62" t="str">
        <x:v>Orders</x:v>
      </x:c>
      <x:c r="H5" s="62"/>
      <x:c r="I5" s="62"/>
      <x:c r="J5" s="62" t="str">
        <x:v>Avg Order Value</x:v>
      </x:c>
      <x:c r="K5" s="62"/>
      <x:c r="L5" s="62"/>
      <x:c r="M5" s="62" t="str">
        <x:v>Revenue / Box</x:v>
      </x:c>
      <x:c r="N5" s="62"/>
      <x:c r="O5" s="62"/>
    </x:row>
    <x:row r="6" ht="20" customHeight="1">
      <x:c r="A6" s="134" t="n">
        <x:f>'Summary'!B4</x:f>
        <x:v>6183625</x:v>
      </x:c>
      <x:c r="B6" s="135"/>
      <x:c r="C6" s="136"/>
      <x:c r="D6" s="146" t="n">
        <x:f>'Summary'!B5</x:f>
        <x:v>177007</x:v>
      </x:c>
      <x:c r="E6" s="135"/>
      <x:c r="F6" s="136"/>
      <x:c r="G6" s="146" t="n">
        <x:f>'Summary'!B6</x:f>
        <x:v>1094</x:v>
      </x:c>
      <x:c r="H6" s="135"/>
      <x:c r="I6" s="136"/>
      <x:c r="J6" s="134" t="n">
        <x:f>'Summary'!B7</x:f>
        <x:v>5652.308043875685</x:v>
      </x:c>
      <x:c r="K6" s="135"/>
      <x:c r="L6" s="136"/>
      <x:c r="M6" s="148" t="n">
        <x:f>'Summary'!B8</x:f>
        <x:v>34.93435287869971</x:v>
      </x:c>
      <x:c r="N6" s="135"/>
      <x:c r="O6" s="136"/>
    </x:row>
    <x:row r="7" ht="20" customHeight="1">
      <x:c r="A7" s="137"/>
      <x:c r="B7" s="138"/>
      <x:c r="C7" s="139"/>
      <x:c r="D7" s="137"/>
      <x:c r="E7" s="138"/>
      <x:c r="F7" s="139"/>
      <x:c r="G7" s="137"/>
      <x:c r="H7" s="138"/>
      <x:c r="I7" s="139"/>
      <x:c r="J7" s="137"/>
      <x:c r="K7" s="138"/>
      <x:c r="L7" s="139"/>
      <x:c r="M7" s="137"/>
      <x:c r="N7" s="138"/>
      <x:c r="O7" s="139"/>
    </x:row>
    <x:row r="8" ht="20" customHeight="1">
      <x:c r="A8" s="66"/>
      <x:c r="B8" s="66"/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</x:row>
    <x:row r="9" ht="20" customHeight="1">
      <x:c r="A9" s="66"/>
      <x:c r="B9" s="66"/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</x:row>
    <x:row r="10" ht="20" customHeight="1">
      <x:c r="A10" s="66"/>
      <x:c r="B10" s="66"/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</x:row>
    <x:row r="11" ht="20" customHeight="1">
      <x:c r="A11" s="66"/>
      <x:c r="B11" s="66"/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</x:row>
    <x:row r="12" ht="20" customHeight="1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</x:row>
    <x:row r="13" ht="20" customHeight="1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</x:row>
    <x:row r="14" ht="20" customHeight="1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</x:row>
    <x:row r="15" ht="20" customHeight="1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</x:row>
    <x:row r="16" ht="20" customHeight="1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</x:row>
    <x:row r="17" ht="20" customHeight="1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</x:row>
    <x:row r="18" ht="20" customHeight="1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</x:row>
    <x:row r="19" ht="20" customHeight="1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</x:row>
    <x:row r="20" ht="20" customHeight="1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</x:row>
    <x:row r="21" ht="20" customHeight="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</x:row>
    <x:row r="22" ht="20" customHeight="1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</x:row>
    <x:row r="23" ht="20" customHeight="1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</x:row>
    <x:row r="24" ht="20" customHeight="1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</x:row>
    <x:row r="25" ht="20" customHeight="1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</x:row>
    <x:row r="26" ht="20" customHeight="1">
      <x:c r="A26" s="66"/>
      <x:c r="B26" s="66"/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</x:row>
    <x:row r="27" ht="20" customHeight="1">
      <x:c r="A27" s="66"/>
      <x:c r="B27" s="66"/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</x:row>
    <x:row r="28" ht="20" customHeight="1">
      <x:c r="A28" s="66"/>
      <x:c r="B28" s="66"/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</x:row>
    <x:row r="29" ht="20" customHeight="1">
      <x:c r="A29" s="66"/>
      <x:c r="B29" s="66"/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</x:row>
    <x:row r="30" ht="20" customHeight="1">
      <x:c r="A30" s="66"/>
      <x:c r="B30" s="66"/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</x:row>
    <x:row r="31" ht="20" customHeight="1">
      <x:c r="A31" s="66"/>
      <x:c r="B31" s="66"/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</x:row>
    <x:row r="32" ht="20" customHeight="1">
      <x:c r="A32" s="66"/>
      <x:c r="B32" s="66"/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</x:row>
    <x:row r="33" ht="20" customHeight="1">
      <x:c r="A33" s="66"/>
      <x:c r="B33" s="66"/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</x:row>
    <x:row r="34" ht="20" customHeight="1">
      <x:c r="A34" s="66"/>
      <x:c r="B34" s="66"/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</x:row>
    <x:row r="35" ht="20" customHeight="1">
      <x:c r="A35" s="66"/>
      <x:c r="B35" s="66"/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</x:row>
    <x:row r="36" ht="20" customHeight="1">
      <x:c r="A36" s="66"/>
      <x:c r="B36" s="66"/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</x:row>
    <x:row r="37" ht="20" customHeight="1">
      <x:c r="A37" s="66"/>
      <x:c r="B37" s="66"/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</x:row>
    <x:row r="38" ht="20" customHeight="1">
      <x:c r="A38" s="66"/>
      <x:c r="B38" s="66"/>
      <x:c r="C38" s="66"/>
      <x:c r="D38" s="66"/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</x:row>
    <x:row r="39" ht="20" customHeight="1">
      <x:c r="A39" s="66"/>
      <x:c r="B39" s="66"/>
      <x:c r="C39" s="66"/>
      <x:c r="D39" s="66"/>
      <x:c r="E39" s="66"/>
      <x:c r="F39" s="66"/>
      <x:c r="G39" s="66"/>
      <x:c r="H39" s="66"/>
      <x:c r="I39" s="66"/>
      <x:c r="J39" s="66"/>
      <x:c r="K39" s="66"/>
      <x:c r="L39" s="66"/>
      <x:c r="M39" s="66"/>
      <x:c r="N39" s="66"/>
      <x:c r="O39" s="66"/>
    </x:row>
    <x:row r="40" ht="20" customHeight="1">
      <x:c r="A40" s="66"/>
      <x:c r="B40" s="66"/>
      <x:c r="C40" s="66"/>
      <x:c r="D40" s="66"/>
      <x:c r="E40" s="66"/>
      <x:c r="F40" s="66"/>
      <x:c r="G40" s="66"/>
      <x:c r="H40" s="66"/>
      <x:c r="I40" s="66"/>
      <x:c r="J40" s="66"/>
      <x:c r="K40" s="66"/>
      <x:c r="L40" s="66"/>
      <x:c r="M40" s="66"/>
      <x:c r="N40" s="66"/>
      <x:c r="O40" s="66"/>
    </x:row>
    <x:row r="41" ht="20" customHeight="1">
      <x:c r="A41" s="113" t="str">
        <x:v>Key takeaways</x:v>
      </x:c>
      <x:c r="B41" s="113"/>
      <x:c r="C41" s="113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3"/>
      <x:c r="O41" s="113"/>
    </x:row>
    <x:row r="42" ht="20" customHeight="1">
      <x:c r="A42" s="119" t="str">
        <x:v>Australia leads revenue ($1.14M). Smooth Silky Salty is the top product ($349.7K). January is the strongest month ($896.1K) in the Jan–Aug source period. Standard orders make up 69.7% of transactions, while Ches Bonnell is the top sales rep by revenue ($320.9K).</x:v>
      </x:c>
      <x:c r="B42" s="119"/>
      <x:c r="C42" s="119"/>
      <x:c r="D42" s="119"/>
      <x:c r="E42" s="119"/>
      <x:c r="F42" s="119"/>
      <x:c r="G42" s="119"/>
      <x:c r="H42" s="119"/>
      <x:c r="I42" s="119"/>
      <x:c r="J42" s="119"/>
      <x:c r="K42" s="119"/>
      <x:c r="L42" s="119"/>
      <x:c r="M42" s="119"/>
      <x:c r="N42" s="119"/>
      <x:c r="O42" s="119"/>
    </x:row>
    <x:row r="43" ht="20" customHeight="1">
      <x:c r="A43" s="119"/>
      <x:c r="B43" s="119"/>
      <x:c r="C43" s="119"/>
      <x:c r="D43" s="119"/>
      <x:c r="E43" s="119"/>
      <x:c r="F43" s="119"/>
      <x:c r="G43" s="119"/>
      <x:c r="H43" s="119"/>
      <x:c r="I43" s="119"/>
      <x:c r="J43" s="119"/>
      <x:c r="K43" s="119"/>
      <x:c r="L43" s="119"/>
      <x:c r="M43" s="119"/>
      <x:c r="N43" s="119"/>
      <x:c r="O43" s="119"/>
    </x:row>
    <x:row r="44" ht="20" customHeight="1">
      <x:c r="A44" s="119"/>
      <x:c r="B44" s="119"/>
      <x:c r="C44" s="119"/>
      <x:c r="D44" s="119"/>
      <x:c r="E44" s="119"/>
      <x:c r="F44" s="119"/>
      <x:c r="G44" s="119"/>
      <x:c r="H44" s="119"/>
      <x:c r="I44" s="119"/>
      <x:c r="J44" s="119"/>
      <x:c r="K44" s="119"/>
      <x:c r="L44" s="119"/>
      <x:c r="M44" s="119"/>
      <x:c r="N44" s="119"/>
      <x:c r="O44" s="119"/>
    </x:row>
    <x:row r="45" ht="20" customHeight="1">
      <x:c r="A45" s="119"/>
      <x:c r="B45" s="119"/>
      <x:c r="C45" s="119"/>
      <x:c r="D45" s="119"/>
      <x:c r="E45" s="119"/>
      <x:c r="F45" s="119"/>
      <x:c r="G45" s="119"/>
      <x:c r="H45" s="119"/>
      <x:c r="I45" s="119"/>
      <x:c r="J45" s="119"/>
      <x:c r="K45" s="119"/>
      <x:c r="L45" s="119"/>
      <x:c r="M45" s="119"/>
      <x:c r="N45" s="119"/>
      <x:c r="O45" s="119"/>
    </x:row>
  </x:sheetData>
  <x:mergeCells>
    <x:mergeCell ref="A1:O2"/>
    <x:mergeCell ref="A3:O3"/>
    <x:mergeCell ref="A5:C5"/>
    <x:mergeCell ref="A6:C7"/>
    <x:mergeCell ref="D5:F5"/>
    <x:mergeCell ref="D6:F7"/>
    <x:mergeCell ref="G5:I5"/>
    <x:mergeCell ref="G6:I7"/>
    <x:mergeCell ref="J5:L5"/>
    <x:mergeCell ref="J6:L7"/>
    <x:mergeCell ref="M5:O5"/>
    <x:mergeCell ref="M6:O7"/>
    <x:mergeCell ref="A41:O41"/>
    <x:mergeCell ref="A42:O45"/>
  </x:mergeCells>
  <x:pageMargins left="0.7" right="0.7" top="0.75" bottom="0.75" header="0.3" footer="0.3"/>
  <x:drawing xmlns:r="http://schemas.openxmlformats.org/officeDocument/2006/relationships" r:id="R382492cd08d84562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28" customHeight="1">
      <x:c r="A1" s="42" t="str">
        <x:v>Source Data Audit</x:v>
      </x:c>
      <x:c r="B1" s="42"/>
      <x:c r="C1" s="26"/>
      <x:c r="D1" s="26"/>
      <x:c r="E1" s="26"/>
      <x:c r="F1" s="26"/>
    </x:row>
    <x:row r="2">
      <x:c r="A2" s="43"/>
      <x:c r="B2" s="43"/>
    </x:row>
    <x:row r="3">
      <x:c r="A3" s="44" t="str">
        <x:v>Check</x:v>
      </x:c>
      <x:c r="B3" s="44" t="str">
        <x:v>Result</x:v>
      </x:c>
    </x:row>
    <x:row r="4">
      <x:c r="A4" s="43" t="str">
        <x:v>Source rows</x:v>
      </x:c>
      <x:c r="B4" s="43" t="n">
        <x:f>COUNTA('Chocolate Sales'!A2:A1095)</x:f>
        <x:v>1094</x:v>
      </x:c>
    </x:row>
    <x:row r="5">
      <x:c r="A5" s="43" t="str">
        <x:v>Missing source values</x:v>
      </x:c>
      <x:c r="B5" s="43" t="n">
        <x:f>COUNTBLANK('Chocolate Sales'!A2:F1095)</x:f>
        <x:v>0</x:v>
      </x:c>
    </x:row>
    <x:row r="6">
      <x:c r="A6" s="43" t="str">
        <x:v>Exact duplicate rows</x:v>
      </x:c>
      <x:c r="B6" s="43" t="n">
        <x:v>0</x:v>
      </x:c>
    </x:row>
    <x:row r="7">
      <x:c r="A7" s="43" t="str">
        <x:v>Source date range</x:v>
      </x:c>
      <x:c r="B7" s="43" t="str">
        <x:f>TEXT(MIN('Chocolate Sales'!D2:D1095),"dd-mmm-yyyy")&amp;" to "&amp;TEXT(MAX('Chocolate Sales'!D2:D1095),"dd-mmm-yyyy")</x:f>
        <x:v>03-Jan-2022 to 31-Aug-2022</x:v>
      </x:c>
    </x:row>
    <x:row r="8">
      <x:c r="A8" s="43" t="str">
        <x:v>Non-positive revenue rows</x:v>
      </x:c>
      <x:c r="B8" s="43" t="n">
        <x:f>COUNTIF('Chocolate Sales'!E2:E1095,"&lt;=0")</x:f>
        <x:v>0</x:v>
      </x:c>
    </x:row>
    <x:row r="9">
      <x:c r="A9" s="43" t="str">
        <x:v>Non-positive boxes rows</x:v>
      </x:c>
      <x:c r="B9" s="43" t="n">
        <x:f>COUNTIF('Chocolate Sales'!F2:F1095,"&lt;=0")</x:f>
        <x:v>0</x:v>
      </x:c>
    </x:row>
    <x:row r="10">
      <x:c r="A10" s="43"/>
      <x:c r="B10" s="43"/>
    </x:row>
    <x:row r="11">
      <x:c r="A11" s="44" t="str">
        <x:v>Cleaning Note</x:v>
      </x:c>
      <x:c r="B11" s="44" t="str">
        <x:v>Action</x:v>
      </x:c>
    </x:row>
    <x:row r="12">
      <x:c r="A12" s="43" t="str">
        <x:v>Product spelling</x:v>
      </x:c>
      <x:c r="B12" s="43" t="str">
        <x:v>Smooth Sliky Salty → Smooth Silky Salty in Analysis Data</x:v>
      </x:c>
    </x:row>
    <x:row r="13">
      <x:c r="A13" s="43" t="str">
        <x:v>Derived metric label</x:v>
      </x:c>
      <x:c r="B13" s="43" t="str">
        <x:v>Amount ÷ Boxes Shipped is labeled Revenue per Box, not Cost per Box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4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56" t="str">
        <x:v>Countries</x:v>
      </x:c>
      <x:c r="B1" s="156" t="str">
        <x:v>Products</x:v>
      </x:c>
      <x:c r="C1" s="156" t="str">
        <x:v>Sales People</x:v>
      </x:c>
      <x:c r="D1" s="156" t="str">
        <x:v>Order Sizes</x:v>
      </x:c>
      <x:c r="E1" s="156"/>
      <x:c r="F1" s="156" t="str">
        <x:v>Growth Targets</x:v>
      </x:c>
    </x:row>
    <x:row r="2">
      <x:c r="A2" t="str">
        <x:v>All</x:v>
      </x:c>
      <x:c r="B2" t="str">
        <x:v>All</x:v>
      </x:c>
      <x:c r="C2" t="str">
        <x:v>All</x:v>
      </x:c>
      <x:c r="D2" t="str">
        <x:v>All</x:v>
      </x:c>
      <x:c r="F2" s="157" t="n">
        <x:v>0.05</x:v>
      </x:c>
    </x:row>
    <x:row r="3">
      <x:c r="A3" t="str">
        <x:v>Australia</x:v>
      </x:c>
      <x:c r="B3" t="str">
        <x:v>50% Dark Bites</x:v>
      </x:c>
      <x:c r="C3" t="str">
        <x:v>Andria Kimpton</x:v>
      </x:c>
      <x:c r="D3" t="str">
        <x:v>Large Order</x:v>
      </x:c>
      <x:c r="F3" s="157" t="n">
        <x:v>0.1</x:v>
      </x:c>
    </x:row>
    <x:row r="4">
      <x:c r="A4" t="str">
        <x:v>Canada</x:v>
      </x:c>
      <x:c r="B4" t="str">
        <x:v>70% Dark Bites</x:v>
      </x:c>
      <x:c r="C4" t="str">
        <x:v>Barr Faughny</x:v>
      </x:c>
      <x:c r="D4" t="str">
        <x:v>Standard Order</x:v>
      </x:c>
      <x:c r="F4" s="157" t="n">
        <x:v>0.15</x:v>
      </x:c>
    </x:row>
    <x:row r="5">
      <x:c r="A5" t="str">
        <x:v>India</x:v>
      </x:c>
      <x:c r="B5" t="str">
        <x:v>85% Dark Bars</x:v>
      </x:c>
      <x:c r="C5" t="str">
        <x:v>Beverie Moffet</x:v>
      </x:c>
      <x:c r="F5" s="157" t="n">
        <x:v>0.2</x:v>
      </x:c>
    </x:row>
    <x:row r="6">
      <x:c r="A6" t="str">
        <x:v>New Zealand</x:v>
      </x:c>
      <x:c r="B6" t="str">
        <x:v>99% Dark &amp; Pure</x:v>
      </x:c>
      <x:c r="C6" t="str">
        <x:v>Brien Boise</x:v>
      </x:c>
      <x:c r="F6" s="157" t="n">
        <x:v>0.25</x:v>
      </x:c>
    </x:row>
    <x:row r="7">
      <x:c r="A7" t="str">
        <x:v>UK</x:v>
      </x:c>
      <x:c r="B7" t="str">
        <x:v>After Nines</x:v>
      </x:c>
      <x:c r="C7" t="str">
        <x:v>Camilla Castle</x:v>
      </x:c>
    </x:row>
    <x:row r="8">
      <x:c r="A8" t="str">
        <x:v>USA</x:v>
      </x:c>
      <x:c r="B8" t="str">
        <x:v>Almond Choco</x:v>
      </x:c>
      <x:c r="C8" t="str">
        <x:v>Ches Bonnell</x:v>
      </x:c>
    </x:row>
    <x:row r="9">
      <x:c r="B9" t="str">
        <x:v>Baker's Choco Chips</x:v>
      </x:c>
      <x:c r="C9" t="str">
        <x:v>Curtice Advani</x:v>
      </x:c>
    </x:row>
    <x:row r="10">
      <x:c r="B10" t="str">
        <x:v>Caramel Stuffed Bars</x:v>
      </x:c>
      <x:c r="C10" t="str">
        <x:v>Dennison Crosswaite</x:v>
      </x:c>
    </x:row>
    <x:row r="11">
      <x:c r="B11" t="str">
        <x:v>Choco Coated Almonds</x:v>
      </x:c>
      <x:c r="C11" t="str">
        <x:v>Dotty Strutley</x:v>
      </x:c>
    </x:row>
    <x:row r="12">
      <x:c r="B12" t="str">
        <x:v>Drinking Coco</x:v>
      </x:c>
      <x:c r="C12" t="str">
        <x:v>Gigi Bohling</x:v>
      </x:c>
    </x:row>
    <x:row r="13">
      <x:c r="B13" t="str">
        <x:v>Eclairs</x:v>
      </x:c>
      <x:c r="C13" t="str">
        <x:v>Gunar Cockshoot</x:v>
      </x:c>
    </x:row>
    <x:row r="14">
      <x:c r="B14" t="str">
        <x:v>Fruit &amp; Nut Bars</x:v>
      </x:c>
      <x:c r="C14" t="str">
        <x:v>Husein Augar</x:v>
      </x:c>
    </x:row>
    <x:row r="15">
      <x:c r="B15" t="str">
        <x:v>Manuka Honey Choco</x:v>
      </x:c>
      <x:c r="C15" t="str">
        <x:v>Jan Morforth</x:v>
      </x:c>
    </x:row>
    <x:row r="16">
      <x:c r="B16" t="str">
        <x:v>Milk Bars</x:v>
      </x:c>
      <x:c r="C16" t="str">
        <x:v>Jehu Rudeforth</x:v>
      </x:c>
    </x:row>
    <x:row r="17">
      <x:c r="B17" t="str">
        <x:v>Mint Chip Choco</x:v>
      </x:c>
      <x:c r="C17" t="str">
        <x:v>Kaine Padly</x:v>
      </x:c>
    </x:row>
    <x:row r="18">
      <x:c r="B18" t="str">
        <x:v>Orange Choco</x:v>
      </x:c>
      <x:c r="C18" t="str">
        <x:v>Karlen McCaffrey</x:v>
      </x:c>
    </x:row>
    <x:row r="19">
      <x:c r="B19" t="str">
        <x:v>Organic Choco Syrup</x:v>
      </x:c>
      <x:c r="C19" t="str">
        <x:v>Kelci Walkden</x:v>
      </x:c>
    </x:row>
    <x:row r="20">
      <x:c r="B20" t="str">
        <x:v>Peanut Butter Cubes</x:v>
      </x:c>
      <x:c r="C20" t="str">
        <x:v>Madelene Upcott</x:v>
      </x:c>
    </x:row>
    <x:row r="21">
      <x:c r="B21" t="str">
        <x:v>Raspberry Choco</x:v>
      </x:c>
      <x:c r="C21" t="str">
        <x:v>Mallorie Waber</x:v>
      </x:c>
    </x:row>
    <x:row r="22">
      <x:c r="B22" t="str">
        <x:v>Smooth Silky Salty</x:v>
      </x:c>
      <x:c r="C22" t="str">
        <x:v>Marney O'Breen</x:v>
      </x:c>
    </x:row>
    <x:row r="23">
      <x:c r="B23" t="str">
        <x:v>Spicy Special Slims</x:v>
      </x:c>
      <x:c r="C23" t="str">
        <x:v>Oby Sorrel</x:v>
      </x:c>
    </x:row>
    <x:row r="24">
      <x:c r="B24" t="str">
        <x:v>White Choc</x:v>
      </x:c>
      <x:c r="C24" t="str">
        <x:v>Rafaelita Blaksland</x:v>
      </x:c>
    </x:row>
    <x:row r="25">
      <x:c r="C25" t="str">
        <x:v>Roddy Speechley</x:v>
      </x:c>
    </x:row>
    <x:row r="26">
      <x:c r="C26" t="str">
        <x:v>Van Tuxwell</x:v>
      </x:c>
    </x:row>
    <x:row r="27">
      <x:c r="C27" t="str">
        <x:v>Wilone O'Kielt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0" t="str">
        <x:v>INTERACTIVE SALES VIEW</x:v>
      </x:c>
      <x:c r="B1" s="160"/>
      <x:c r="C1" s="160"/>
      <x:c r="D1" s="160"/>
      <x:c r="E1" s="160"/>
      <x:c r="F1" s="160"/>
      <x:c r="G1" s="160"/>
      <x:c r="H1" s="160"/>
    </x:row>
    <x:row r="2">
      <x:c r="A2" s="163" t="str">
        <x:v>Use the dropdowns to explore the Jan–Aug 2022 sales data without changing the source table.</x:v>
      </x:c>
      <x:c r="B2" s="163"/>
      <x:c r="C2" s="163"/>
      <x:c r="D2" s="163"/>
      <x:c r="E2" s="163"/>
      <x:c r="F2" s="163"/>
      <x:c r="G2" s="163"/>
      <x:c r="H2" s="163"/>
    </x:row>
    <x:row r="4">
      <x:c r="A4" s="165" t="str">
        <x:v>Country</x:v>
      </x:c>
      <x:c r="B4" s="167" t="str">
        <x:v>All</x:v>
      </x:c>
      <x:c r="D4" s="168" t="str">
        <x:v>Total Revenue</x:v>
      </x:c>
      <x:c r="E4" s="168" t="str">
        <x:v>Orders</x:v>
      </x:c>
      <x:c r="F4" s="168" t="str">
        <x:v>Boxes</x:v>
      </x:c>
      <x:c r="G4" s="168" t="str">
        <x:v>Avg Order Value</x:v>
      </x:c>
      <x:c r="H4" s="168" t="str">
        <x:v>Revenue / Box</x:v>
      </x:c>
    </x:row>
    <x:row r="5">
      <x:c r="A5" s="165" t="str">
        <x:v>Product</x:v>
      </x:c>
      <x:c r="B5" s="167" t="str">
        <x:v>All</x:v>
      </x:c>
      <x:c r="D5" s="171" t="n">
        <x:f>SUMIFS('Analysis Data'!$E$2:$E$1095,'Analysis Data'!$B$2:$B$1095,IF($B$4="All","&lt;&gt;",$B$4),'Analysis Data'!$C$2:$C$1095,IF($B$5="All","&lt;&gt;",$B$5),'Analysis Data'!$A$2:$A$1095,IF($B$6="All","&lt;&gt;",$B$6),'Analysis Data'!$K$2:$K$1095,IF($B$7="All","&lt;&gt;",$B$7))</x:f>
        <x:v>6183625</x:v>
      </x:c>
      <x:c r="E5" s="172" t="n">
        <x:f>COUNTIFS('Analysis Data'!$B$2:$B$1095,IF($B$4="All","&lt;&gt;",$B$4),'Analysis Data'!$C$2:$C$1095,IF($B$5="All","&lt;&gt;",$B$5),'Analysis Data'!$A$2:$A$1095,IF($B$6="All","&lt;&gt;",$B$6),'Analysis Data'!$K$2:$K$1095,IF($B$7="All","&lt;&gt;",$B$7))</x:f>
        <x:v>1094</x:v>
      </x:c>
      <x:c r="F5" s="172" t="n">
        <x:f>SUMIFS('Analysis Data'!$F$2:$F$1095,'Analysis Data'!$B$2:$B$1095,IF($B$4="All","&lt;&gt;",$B$4),'Analysis Data'!$C$2:$C$1095,IF($B$5="All","&lt;&gt;",$B$5),'Analysis Data'!$A$2:$A$1095,IF($B$6="All","&lt;&gt;",$B$6),'Analysis Data'!$K$2:$K$1095,IF($B$7="All","&lt;&gt;",$B$7))</x:f>
        <x:v>177007</x:v>
      </x:c>
      <x:c r="G5" s="173" t="n">
        <x:f>IFERROR(D5/E5,0)</x:f>
        <x:v>5652.308043875685</x:v>
      </x:c>
      <x:c r="H5" s="173" t="n">
        <x:f>IFERROR(D5/F5,0)</x:f>
        <x:v>34.93435287869971</x:v>
      </x:c>
    </x:row>
    <x:row r="6">
      <x:c r="A6" s="165" t="str">
        <x:v>Sales Person</x:v>
      </x:c>
      <x:c r="B6" s="167" t="str">
        <x:v>All</x:v>
      </x:c>
    </x:row>
    <x:row r="7">
      <x:c r="A7" s="165" t="str">
        <x:v>Order Size</x:v>
      </x:c>
      <x:c r="B7" s="167" t="str">
        <x:v>All</x:v>
      </x:c>
    </x:row>
    <x:row r="10">
      <x:c r="A10" s="154" t="str">
        <x:v>Month No</x:v>
      </x:c>
      <x:c r="B10" s="154" t="str">
        <x:v>Month</x:v>
      </x:c>
      <x:c r="C10" s="154" t="str">
        <x:v>Filtered Revenue</x:v>
      </x:c>
      <x:c r="E10" s="154" t="str">
        <x:v>Month No</x:v>
      </x:c>
      <x:c r="F10" s="154" t="str">
        <x:v>Month</x:v>
      </x:c>
      <x:c r="G10" s="154" t="str">
        <x:v>Filtered Orders</x:v>
      </x:c>
    </x:row>
    <x:row r="11">
      <x:c r="A11" t="n">
        <x:v>1</x:v>
      </x:c>
      <x:c r="B11" t="str">
        <x:v>Jan</x:v>
      </x:c>
      <x:c r="C11" s="16" t="n">
        <x:f>SUMIFS('Analysis Data'!$E$2:$E$1095,'Analysis Data'!$I$2:$I$1095,$A11,'Analysis Data'!$B$2:$B$1095,IF($B$4="All","&lt;&gt;",$B$4),'Analysis Data'!$C$2:$C$1095,IF($B$5="All","&lt;&gt;",$B$5),'Analysis Data'!$A$2:$A$1095,IF($B$6="All","&lt;&gt;",$B$6),'Analysis Data'!$K$2:$K$1095,IF($B$7="All","&lt;&gt;",$B$7))</x:f>
        <x:v>896105</x:v>
      </x:c>
      <x:c r="E11" t="n">
        <x:v>1</x:v>
      </x:c>
      <x:c r="F11" t="str">
        <x:v>Jan</x:v>
      </x:c>
      <x:c r="G11" s="18" t="n">
        <x:f>COUNTIFS('Analysis Data'!$I$2:$I$1095,$E11,'Analysis Data'!$B$2:$B$1095,IF($B$4="All","&lt;&gt;",$B$4),'Analysis Data'!$C$2:$C$1095,IF($B$5="All","&lt;&gt;",$B$5),'Analysis Data'!$A$2:$A$1095,IF($B$6="All","&lt;&gt;",$B$6),'Analysis Data'!$K$2:$K$1095,IF($B$7="All","&lt;&gt;",$B$7))</x:f>
        <x:v>154</x:v>
      </x:c>
    </x:row>
    <x:row r="12">
      <x:c r="A12" t="n">
        <x:v>2</x:v>
      </x:c>
      <x:c r="B12" t="str">
        <x:v>Feb</x:v>
      </x:c>
      <x:c r="C12" s="16" t="n">
        <x:f>SUMIFS('Analysis Data'!$E$2:$E$1095,'Analysis Data'!$I$2:$I$1095,$A12,'Analysis Data'!$B$2:$B$1095,IF($B$4="All","&lt;&gt;",$B$4),'Analysis Data'!$C$2:$C$1095,IF($B$5="All","&lt;&gt;",$B$5),'Analysis Data'!$A$2:$A$1095,IF($B$6="All","&lt;&gt;",$B$6),'Analysis Data'!$K$2:$K$1095,IF($B$7="All","&lt;&gt;",$B$7))</x:f>
        <x:v>699377</x:v>
      </x:c>
      <x:c r="E12" t="n">
        <x:v>2</x:v>
      </x:c>
      <x:c r="F12" t="str">
        <x:v>Feb</x:v>
      </x:c>
      <x:c r="G12" s="18" t="n">
        <x:f>COUNTIFS('Analysis Data'!$I$2:$I$1095,$E12,'Analysis Data'!$B$2:$B$1095,IF($B$4="All","&lt;&gt;",$B$4),'Analysis Data'!$C$2:$C$1095,IF($B$5="All","&lt;&gt;",$B$5),'Analysis Data'!$A$2:$A$1095,IF($B$6="All","&lt;&gt;",$B$6),'Analysis Data'!$K$2:$K$1095,IF($B$7="All","&lt;&gt;",$B$7))</x:f>
        <x:v>110</x:v>
      </x:c>
    </x:row>
    <x:row r="13">
      <x:c r="A13" t="n">
        <x:v>3</x:v>
      </x:c>
      <x:c r="B13" t="str">
        <x:v>Mar</x:v>
      </x:c>
      <x:c r="C13" s="16" t="n">
        <x:f>SUMIFS('Analysis Data'!$E$2:$E$1095,'Analysis Data'!$I$2:$I$1095,$A13,'Analysis Data'!$B$2:$B$1095,IF($B$4="All","&lt;&gt;",$B$4),'Analysis Data'!$C$2:$C$1095,IF($B$5="All","&lt;&gt;",$B$5),'Analysis Data'!$A$2:$A$1095,IF($B$6="All","&lt;&gt;",$B$6),'Analysis Data'!$K$2:$K$1095,IF($B$7="All","&lt;&gt;",$B$7))</x:f>
        <x:v>749483</x:v>
      </x:c>
      <x:c r="E13" t="n">
        <x:v>3</x:v>
      </x:c>
      <x:c r="F13" t="str">
        <x:v>Mar</x:v>
      </x:c>
      <x:c r="G13" s="18" t="n">
        <x:f>COUNTIFS('Analysis Data'!$I$2:$I$1095,$E13,'Analysis Data'!$B$2:$B$1095,IF($B$4="All","&lt;&gt;",$B$4),'Analysis Data'!$C$2:$C$1095,IF($B$5="All","&lt;&gt;",$B$5),'Analysis Data'!$A$2:$A$1095,IF($B$6="All","&lt;&gt;",$B$6),'Analysis Data'!$K$2:$K$1095,IF($B$7="All","&lt;&gt;",$B$7))</x:f>
        <x:v>131</x:v>
      </x:c>
    </x:row>
    <x:row r="14">
      <x:c r="A14" t="n">
        <x:v>4</x:v>
      </x:c>
      <x:c r="B14" t="str">
        <x:v>Apr</x:v>
      </x:c>
      <x:c r="C14" s="16" t="n">
        <x:f>SUMIFS('Analysis Data'!$E$2:$E$1095,'Analysis Data'!$I$2:$I$1095,$A14,'Analysis Data'!$B$2:$B$1095,IF($B$4="All","&lt;&gt;",$B$4),'Analysis Data'!$C$2:$C$1095,IF($B$5="All","&lt;&gt;",$B$5),'Analysis Data'!$A$2:$A$1095,IF($B$6="All","&lt;&gt;",$B$6),'Analysis Data'!$K$2:$K$1095,IF($B$7="All","&lt;&gt;",$B$7))</x:f>
        <x:v>674051</x:v>
      </x:c>
      <x:c r="E14" t="n">
        <x:v>4</x:v>
      </x:c>
      <x:c r="F14" t="str">
        <x:v>Apr</x:v>
      </x:c>
      <x:c r="G14" s="18" t="n">
        <x:f>COUNTIFS('Analysis Data'!$I$2:$I$1095,$E14,'Analysis Data'!$B$2:$B$1095,IF($B$4="All","&lt;&gt;",$B$4),'Analysis Data'!$C$2:$C$1095,IF($B$5="All","&lt;&gt;",$B$5),'Analysis Data'!$A$2:$A$1095,IF($B$6="All","&lt;&gt;",$B$6),'Analysis Data'!$K$2:$K$1095,IF($B$7="All","&lt;&gt;",$B$7))</x:f>
        <x:v>118</x:v>
      </x:c>
    </x:row>
    <x:row r="15">
      <x:c r="A15" t="n">
        <x:v>5</x:v>
      </x:c>
      <x:c r="B15" t="str">
        <x:v>May</x:v>
      </x:c>
      <x:c r="C15" s="16" t="n">
        <x:f>SUMIFS('Analysis Data'!$E$2:$E$1095,'Analysis Data'!$I$2:$I$1095,$A15,'Analysis Data'!$B$2:$B$1095,IF($B$4="All","&lt;&gt;",$B$4),'Analysis Data'!$C$2:$C$1095,IF($B$5="All","&lt;&gt;",$B$5),'Analysis Data'!$A$2:$A$1095,IF($B$6="All","&lt;&gt;",$B$6),'Analysis Data'!$K$2:$K$1095,IF($B$7="All","&lt;&gt;",$B$7))</x:f>
        <x:v>752892</x:v>
      </x:c>
      <x:c r="E15" t="n">
        <x:v>5</x:v>
      </x:c>
      <x:c r="F15" t="str">
        <x:v>May</x:v>
      </x:c>
      <x:c r="G15" s="18" t="n">
        <x:f>COUNTIFS('Analysis Data'!$I$2:$I$1095,$E15,'Analysis Data'!$B$2:$B$1095,IF($B$4="All","&lt;&gt;",$B$4),'Analysis Data'!$C$2:$C$1095,IF($B$5="All","&lt;&gt;",$B$5),'Analysis Data'!$A$2:$A$1095,IF($B$6="All","&lt;&gt;",$B$6),'Analysis Data'!$K$2:$K$1095,IF($B$7="All","&lt;&gt;",$B$7))</x:f>
        <x:v>135</x:v>
      </x:c>
    </x:row>
    <x:row r="16">
      <x:c r="A16" t="n">
        <x:v>6</x:v>
      </x:c>
      <x:c r="B16" t="str">
        <x:v>Jun</x:v>
      </x:c>
      <x:c r="C16" s="16" t="n">
        <x:f>SUMIFS('Analysis Data'!$E$2:$E$1095,'Analysis Data'!$I$2:$I$1095,$A16,'Analysis Data'!$B$2:$B$1095,IF($B$4="All","&lt;&gt;",$B$4),'Analysis Data'!$C$2:$C$1095,IF($B$5="All","&lt;&gt;",$B$5),'Analysis Data'!$A$2:$A$1095,IF($B$6="All","&lt;&gt;",$B$6),'Analysis Data'!$K$2:$K$1095,IF($B$7="All","&lt;&gt;",$B$7))</x:f>
        <x:v>865144</x:v>
      </x:c>
      <x:c r="E16" t="n">
        <x:v>6</x:v>
      </x:c>
      <x:c r="F16" t="str">
        <x:v>Jun</x:v>
      </x:c>
      <x:c r="G16" s="18" t="n">
        <x:f>COUNTIFS('Analysis Data'!$I$2:$I$1095,$E16,'Analysis Data'!$B$2:$B$1095,IF($B$4="All","&lt;&gt;",$B$4),'Analysis Data'!$C$2:$C$1095,IF($B$5="All","&lt;&gt;",$B$5),'Analysis Data'!$A$2:$A$1095,IF($B$6="All","&lt;&gt;",$B$6),'Analysis Data'!$K$2:$K$1095,IF($B$7="All","&lt;&gt;",$B$7))</x:f>
        <x:v>163</x:v>
      </x:c>
    </x:row>
    <x:row r="17">
      <x:c r="A17" t="n">
        <x:v>7</x:v>
      </x:c>
      <x:c r="B17" t="str">
        <x:v>Jul</x:v>
      </x:c>
      <x:c r="C17" s="16" t="n">
        <x:f>SUMIFS('Analysis Data'!$E$2:$E$1095,'Analysis Data'!$I$2:$I$1095,$A17,'Analysis Data'!$B$2:$B$1095,IF($B$4="All","&lt;&gt;",$B$4),'Analysis Data'!$C$2:$C$1095,IF($B$5="All","&lt;&gt;",$B$5),'Analysis Data'!$A$2:$A$1095,IF($B$6="All","&lt;&gt;",$B$6),'Analysis Data'!$K$2:$K$1095,IF($B$7="All","&lt;&gt;",$B$7))</x:f>
        <x:v>803425</x:v>
      </x:c>
      <x:c r="E17" t="n">
        <x:v>7</x:v>
      </x:c>
      <x:c r="F17" t="str">
        <x:v>Jul</x:v>
      </x:c>
      <x:c r="G17" s="18" t="n">
        <x:f>COUNTIFS('Analysis Data'!$I$2:$I$1095,$E17,'Analysis Data'!$B$2:$B$1095,IF($B$4="All","&lt;&gt;",$B$4),'Analysis Data'!$C$2:$C$1095,IF($B$5="All","&lt;&gt;",$B$5),'Analysis Data'!$A$2:$A$1095,IF($B$6="All","&lt;&gt;",$B$6),'Analysis Data'!$K$2:$K$1095,IF($B$7="All","&lt;&gt;",$B$7))</x:f>
        <x:v>149</x:v>
      </x:c>
    </x:row>
    <x:row r="18">
      <x:c r="A18" t="n">
        <x:v>8</x:v>
      </x:c>
      <x:c r="B18" t="str">
        <x:v>Aug</x:v>
      </x:c>
      <x:c r="C18" s="16" t="n">
        <x:f>SUMIFS('Analysis Data'!$E$2:$E$1095,'Analysis Data'!$I$2:$I$1095,$A18,'Analysis Data'!$B$2:$B$1095,IF($B$4="All","&lt;&gt;",$B$4),'Analysis Data'!$C$2:$C$1095,IF($B$5="All","&lt;&gt;",$B$5),'Analysis Data'!$A$2:$A$1095,IF($B$6="All","&lt;&gt;",$B$6),'Analysis Data'!$K$2:$K$1095,IF($B$7="All","&lt;&gt;",$B$7))</x:f>
        <x:v>743148</x:v>
      </x:c>
      <x:c r="E18" t="n">
        <x:v>8</x:v>
      </x:c>
      <x:c r="F18" t="str">
        <x:v>Aug</x:v>
      </x:c>
      <x:c r="G18" s="18" t="n">
        <x:f>COUNTIFS('Analysis Data'!$I$2:$I$1095,$E18,'Analysis Data'!$B$2:$B$1095,IF($B$4="All","&lt;&gt;",$B$4),'Analysis Data'!$C$2:$C$1095,IF($B$5="All","&lt;&gt;",$B$5),'Analysis Data'!$A$2:$A$1095,IF($B$6="All","&lt;&gt;",$B$6),'Analysis Data'!$K$2:$K$1095,IF($B$7="All","&lt;&gt;",$B$7))</x:f>
        <x:v>134</x:v>
      </x:c>
    </x:row>
    <x:row r="21">
      <x:c r="A21" s="174" t="str">
        <x:v>Why this sheet matters: it demonstrates data validation, multi-criteria SUMIFS/COUNTIFS, dynamic KPIs and charts controlled by user selections.</x:v>
      </x:c>
      <x:c r="B21" s="174"/>
      <x:c r="C21" s="174"/>
      <x:c r="D21" s="174"/>
      <x:c r="E21" s="174"/>
      <x:c r="F21" s="174"/>
      <x:c r="G21" s="174"/>
      <x:c r="H21" s="174"/>
    </x:row>
    <x:row r="24">
      <x:c r="A24" s="165" t="str">
        <x:v>Lookup</x:v>
      </x:c>
      <x:c r="B24" s="165" t="str">
        <x:v>Result</x:v>
      </x:c>
    </x:row>
    <x:row r="25">
      <x:c r="A25" s="167" t="str">
        <x:v>Selected Product Revenue Rank</x:v>
      </x:c>
      <x:c r="B25" s="182" t="str">
        <x:f>IF($B$5="All","Select a product",INDEX('Performance Analysis'!$H$4:$H$25,MATCH($B$5,'Performance Analysis'!$A$4:$A$25,0)))</x:f>
        <x:v>Select a product</x:v>
      </x:c>
    </x:row>
    <x:row r="26">
      <x:c r="A26" s="167" t="str">
        <x:v>Selected Sales Rep Revenue Rank</x:v>
      </x:c>
      <x:c r="B26" s="182" t="str">
        <x:f>IF($B$6="All","Select a sales rep",INDEX('Performance Analysis'!$R$4:$R$28,MATCH($B$6,'Performance Analysis'!$M$4:$M$28,0)))</x:f>
        <x:v>Select a sales rep</x:v>
      </x:c>
    </x:row>
  </x:sheetData>
  <x:mergeCells>
    <x:mergeCell ref="A1:H1"/>
    <x:mergeCell ref="A2:H2"/>
    <x:mergeCell ref="A21:H21"/>
  </x:mergeCells>
  <x:dataValidations count="4">
    <x:dataValidation type="list" sqref="B4">
      <x:formula1>'_Lists'!$A$2:$A$8</x:formula1>
    </x:dataValidation>
    <x:dataValidation type="list" sqref="B5">
      <x:formula1>'_Lists'!$B$2:$B$24</x:formula1>
    </x:dataValidation>
    <x:dataValidation type="list" sqref="B6">
      <x:formula1>'_Lists'!$C$2:$C$27</x:formula1>
    </x:dataValidation>
    <x:dataValidation type="list" sqref="B7">
      <x:formula1>'_Lists'!$D$2:$D$4</x:formula1>
    </x:dataValidation>
  </x:dataValidations>
  <x:pageMargins left="0.7" right="0.7" top="0.75" bottom="0.75" header="0.3" footer="0.3"/>
  <x:drawing xmlns:r="http://schemas.openxmlformats.org/officeDocument/2006/relationships" r:id="R3749b0c01b964789"/>
</x:worksheet>
</file>

<file path=xl/worksheets/sheet8.xml><?xml version="1.0" encoding="utf-8"?>
<x:worksheet xmlns:x14="http://schemas.microsoft.com/office/spreadsheetml/2009/9/main" xmlns:xm="http://schemas.microsoft.com/office/excel/2006/main" xmlns:mc="http://schemas.openxmlformats.org/markup-compatibility/2006" xmlns:xr2="http://schemas.microsoft.com/office/spreadsheetml/2015/revision2" xmlns:x="http://schemas.openxmlformats.org/spreadsheetml/2006/main" mc:Ignorable="xr2">
  <x:sheetFormatPr defaultRowHeight="15"/>
  <x:cols>
    <x:col min="1" max="1" width="24" hidden="0" customWidth="1"/>
    <x:col min="13" max="13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1" max="11" width="16" hidden="0" customWidth="1"/>
  </x:cols>
  <x:sheetData>
    <x:row r="1">
      <x:c r="A1" s="160" t="str">
        <x:v>PRODUCT &amp; COUNTRY PERFORMANCE</x:v>
      </x:c>
      <x:c r="B1" s="160"/>
      <x:c r="C1" s="160"/>
      <x:c r="D1" s="160"/>
      <x:c r="E1" s="160"/>
      <x:c r="F1" s="160"/>
      <x:c r="G1" s="160"/>
      <x:c r="H1" s="160"/>
      <x:c r="I1" s="160"/>
      <x:c r="J1" s="160"/>
      <x:c r="K1" s="160"/>
      <x:c r="L1" s="160"/>
      <x:c r="M1" s="160"/>
      <x:c r="N1" s="160"/>
      <x:c r="O1" s="160"/>
      <x:c r="P1" s="160"/>
      <x:c r="Q1" s="160"/>
      <x:c r="R1" s="160"/>
    </x:row>
    <x:row r="3">
      <x:c r="A3" s="175" t="str">
        <x:v>Product</x:v>
      </x:c>
      <x:c r="B3" s="175" t="str">
        <x:v>Revenue</x:v>
      </x:c>
      <x:c r="C3" s="175" t="str">
        <x:v>Orders</x:v>
      </x:c>
      <x:c r="D3" s="175" t="str">
        <x:v>Boxes</x:v>
      </x:c>
      <x:c r="E3" s="175" t="str">
        <x:v>Avg Order Value</x:v>
      </x:c>
      <x:c r="F3" s="175" t="str">
        <x:v>Revenue / Box</x:v>
      </x:c>
      <x:c r="G3" s="175" t="str">
        <x:v>Revenue Share</x:v>
      </x:c>
      <x:c r="H3" s="175" t="str">
        <x:v>Revenue Rank</x:v>
      </x:c>
      <x:c r="M3" s="175" t="str">
        <x:v>Sales Person</x:v>
      </x:c>
      <x:c r="N3" s="175" t="str">
        <x:v>Revenue</x:v>
      </x:c>
      <x:c r="O3" s="175" t="str">
        <x:v>Orders</x:v>
      </x:c>
      <x:c r="P3" s="175" t="str">
        <x:v>Avg Order Value</x:v>
      </x:c>
      <x:c r="Q3" s="175" t="str">
        <x:v>Revenue Share</x:v>
      </x:c>
      <x:c r="R3" s="175" t="str">
        <x:v>Rank</x:v>
      </x:c>
    </x:row>
    <x:row r="4">
      <x:c r="A4" t="str">
        <x:v>50% Dark Bites</x:v>
      </x:c>
      <x:c r="B4" s="16" t="n">
        <x:f>SUMIFS('Analysis Data'!$E$2:$E$1095,'Analysis Data'!$C$2:$C$1095,A4)</x:f>
        <x:v>341712</x:v>
      </x:c>
      <x:c r="C4" s="18" t="n">
        <x:f>COUNTIF('Analysis Data'!$C$2:$C$1095,A4)</x:f>
        <x:v>60</x:v>
      </x:c>
      <x:c r="D4" s="18" t="n">
        <x:f>SUMIFS('Analysis Data'!$F$2:$F$1095,'Analysis Data'!$C$2:$C$1095,A4)</x:f>
        <x:v>9792</x:v>
      </x:c>
      <x:c r="E4" s="38" t="n">
        <x:f>IFERROR(B4/C4,0)</x:f>
        <x:v>5695.2</x:v>
      </x:c>
      <x:c r="F4" s="38" t="n">
        <x:f>IFERROR(B4/D4,0)</x:f>
        <x:v>34.89705882352941</x:v>
      </x:c>
      <x:c r="G4" s="40" t="n">
        <x:f>B4/SUM($B$4:$B$25)</x:f>
        <x:v>0.055260789585396916</x:v>
      </x:c>
      <x:c r="H4" s="22" t="n">
        <x:f>RANK.EQ(B4,$B$4:$B$25,0)</x:f>
        <x:v>2</x:v>
      </x:c>
      <x:c r="M4" t="str">
        <x:v>Andria Kimpton</x:v>
      </x:c>
      <x:c r="N4" s="16" t="n">
        <x:f>SUMIFS('Analysis Data'!$E$2:$E$1095,'Analysis Data'!$A$2:$A$1095,M4)</x:f>
        <x:v>201747</x:v>
      </x:c>
      <x:c r="O4" s="18" t="n">
        <x:f>COUNTIF('Analysis Data'!$A$2:$A$1095,M4)</x:f>
        <x:v>39</x:v>
      </x:c>
      <x:c r="P4" s="38" t="n">
        <x:f>IFERROR(N4/O4,0)</x:f>
        <x:v>5173</x:v>
      </x:c>
      <x:c r="Q4" s="40" t="n">
        <x:f>N4/SUM($N$4:$N$28)</x:f>
        <x:v>0.03262600820716004</x:v>
      </x:c>
      <x:c r="R4" s="22" t="n">
        <x:f>RANK.EQ(N4,$N$4:$N$28,0)</x:f>
        <x:v>21</x:v>
      </x:c>
    </x:row>
    <x:row r="5">
      <x:c r="A5" t="str">
        <x:v>70% Dark Bites</x:v>
      </x:c>
      <x:c r="B5" s="16" t="n">
        <x:f>SUMIFS('Analysis Data'!$E$2:$E$1095,'Analysis Data'!$C$2:$C$1095,A5)</x:f>
        <x:v>211610</x:v>
      </x:c>
      <x:c r="C5" s="18" t="n">
        <x:f>COUNTIF('Analysis Data'!$C$2:$C$1095,A5)</x:f>
        <x:v>42</x:v>
      </x:c>
      <x:c r="D5" s="18" t="n">
        <x:f>SUMIFS('Analysis Data'!$F$2:$F$1095,'Analysis Data'!$C$2:$C$1095,A5)</x:f>
        <x:v>8015</x:v>
      </x:c>
      <x:c r="E5" s="38" t="n">
        <x:f>IFERROR(B5/C5,0)</x:f>
        <x:v>5038.333333333333</x:v>
      </x:c>
      <x:c r="F5" s="38" t="n">
        <x:f>IFERROR(B5/D5,0)</x:f>
        <x:v>26.40174672489083</x:v>
      </x:c>
      <x:c r="G5" s="40" t="n">
        <x:f>B5/SUM($B$4:$B$25)</x:f>
        <x:v>0.03422102731003254</x:v>
      </x:c>
      <x:c r="H5" s="22" t="n">
        <x:f>RANK.EQ(B5,$B$4:$B$25,0)</x:f>
        <x:v>22</x:v>
      </x:c>
      <x:c r="M5" t="str">
        <x:v>Barr Faughny</x:v>
      </x:c>
      <x:c r="N5" s="16" t="n">
        <x:f>SUMIFS('Analysis Data'!$E$2:$E$1095,'Analysis Data'!$A$2:$A$1095,M5)</x:f>
        <x:v>258713</x:v>
      </x:c>
      <x:c r="O5" s="18" t="n">
        <x:f>COUNTIF('Analysis Data'!$A$2:$A$1095,M5)</x:f>
        <x:v>43</x:v>
      </x:c>
      <x:c r="P5" s="38" t="n">
        <x:f>IFERROR(N5/O5,0)</x:f>
        <x:v>6016.581395348837</x:v>
      </x:c>
      <x:c r="Q5" s="40" t="n">
        <x:f>N5/SUM($N$4:$N$28)</x:f>
        <x:v>0.04183840384887505</x:v>
      </x:c>
      <x:c r="R5" s="22" t="n">
        <x:f>RANK.EQ(N5,$N$4:$N$28,0)</x:f>
        <x:v>11</x:v>
      </x:c>
    </x:row>
    <x:row r="6">
      <x:c r="A6" t="str">
        <x:v>85% Dark Bars</x:v>
      </x:c>
      <x:c r="B6" s="16" t="n">
        <x:f>SUMIFS('Analysis Data'!$E$2:$E$1095,'Analysis Data'!$C$2:$C$1095,A6)</x:f>
        <x:v>299229</x:v>
      </x:c>
      <x:c r="C6" s="18" t="n">
        <x:f>COUNTIF('Analysis Data'!$C$2:$C$1095,A6)</x:f>
        <x:v>50</x:v>
      </x:c>
      <x:c r="D6" s="18" t="n">
        <x:f>SUMIFS('Analysis Data'!$F$2:$F$1095,'Analysis Data'!$C$2:$C$1095,A6)</x:f>
        <x:v>7793</x:v>
      </x:c>
      <x:c r="E6" s="38" t="n">
        <x:f>IFERROR(B6/C6,0)</x:f>
        <x:v>5984.58</x:v>
      </x:c>
      <x:c r="F6" s="38" t="n">
        <x:f>IFERROR(B6/D6,0)</x:f>
        <x:v>38.39715128961889</x:v>
      </x:c>
      <x:c r="G6" s="40" t="n">
        <x:f>B6/SUM($B$4:$B$25)</x:f>
        <x:v>0.04839054761567851</x:v>
      </x:c>
      <x:c r="H6" s="22" t="n">
        <x:f>RANK.EQ(B6,$B$4:$B$25,0)</x:f>
        <x:v>7</x:v>
      </x:c>
      <x:c r="M6" t="str">
        <x:v>Beverie Moffet</x:v>
      </x:c>
      <x:c r="N6" s="16" t="n">
        <x:f>SUMIFS('Analysis Data'!$E$2:$E$1095,'Analysis Data'!$A$2:$A$1095,M6)</x:f>
        <x:v>278922</x:v>
      </x:c>
      <x:c r="O6" s="18" t="n">
        <x:f>COUNTIF('Analysis Data'!$A$2:$A$1095,M6)</x:f>
        <x:v>50</x:v>
      </x:c>
      <x:c r="P6" s="38" t="n">
        <x:f>IFERROR(N6/O6,0)</x:f>
        <x:v>5578.44</x:v>
      </x:c>
      <x:c r="Q6" s="40" t="n">
        <x:f>N6/SUM($N$4:$N$28)</x:f>
        <x:v>0.04510655157775577</x:v>
      </x:c>
      <x:c r="R6" s="22" t="n">
        <x:f>RANK.EQ(N6,$N$4:$N$28,0)</x:f>
        <x:v>8</x:v>
      </x:c>
    </x:row>
    <x:row r="7">
      <x:c r="A7" t="str">
        <x:v>99% Dark &amp; Pure</x:v>
      </x:c>
      <x:c r="B7" s="16" t="n">
        <x:f>SUMIFS('Analysis Data'!$E$2:$E$1095,'Analysis Data'!$C$2:$C$1095,A7)</x:f>
        <x:v>299796</x:v>
      </x:c>
      <x:c r="C7" s="18" t="n">
        <x:f>COUNTIF('Analysis Data'!$C$2:$C$1095,A7)</x:f>
        <x:v>49</x:v>
      </x:c>
      <x:c r="D7" s="18" t="n">
        <x:f>SUMIFS('Analysis Data'!$F$2:$F$1095,'Analysis Data'!$C$2:$C$1095,A7)</x:f>
        <x:v>8127</x:v>
      </x:c>
      <x:c r="E7" s="38" t="n">
        <x:f>IFERROR(B7/C7,0)</x:f>
        <x:v>6118.285714285715</x:v>
      </x:c>
      <x:c r="F7" s="38" t="n">
        <x:f>IFERROR(B7/D7,0)</x:f>
        <x:v>36.888888888888886</x:v>
      </x:c>
      <x:c r="G7" s="40" t="n">
        <x:f>B7/SUM($B$4:$B$25)</x:f>
        <x:v>0.048482241403707375</x:v>
      </x:c>
      <x:c r="H7" s="22" t="n">
        <x:f>RANK.EQ(B7,$B$4:$B$25,0)</x:f>
        <x:v>6</x:v>
      </x:c>
      <x:c r="M7" t="str">
        <x:v>Brien Boise</x:v>
      </x:c>
      <x:c r="N7" s="16" t="n">
        <x:f>SUMIFS('Analysis Data'!$E$2:$E$1095,'Analysis Data'!$A$2:$A$1095,M7)</x:f>
        <x:v>312816</x:v>
      </x:c>
      <x:c r="O7" s="18" t="n">
        <x:f>COUNTIF('Analysis Data'!$A$2:$A$1095,M7)</x:f>
        <x:v>53</x:v>
      </x:c>
      <x:c r="P7" s="38" t="n">
        <x:f>IFERROR(N7/O7,0)</x:f>
        <x:v>5902.188679245283</x:v>
      </x:c>
      <x:c r="Q7" s="40" t="n">
        <x:f>N7/SUM($N$4:$N$28)</x:f>
        <x:v>0.05058780246214801</x:v>
      </x:c>
      <x:c r="R7" s="22" t="n">
        <x:f>RANK.EQ(N7,$N$4:$N$28,0)</x:f>
        <x:v>4</x:v>
      </x:c>
    </x:row>
    <x:row r="8">
      <x:c r="A8" t="str">
        <x:v>After Nines</x:v>
      </x:c>
      <x:c r="B8" s="16" t="n">
        <x:f>SUMIFS('Analysis Data'!$E$2:$E$1095,'Analysis Data'!$C$2:$C$1095,A8)</x:f>
        <x:v>261331</x:v>
      </x:c>
      <x:c r="C8" s="18" t="n">
        <x:f>COUNTIF('Analysis Data'!$C$2:$C$1095,A8)</x:f>
        <x:v>50</x:v>
      </x:c>
      <x:c r="D8" s="18" t="n">
        <x:f>SUMIFS('Analysis Data'!$F$2:$F$1095,'Analysis Data'!$C$2:$C$1095,A8)</x:f>
        <x:v>8257</x:v>
      </x:c>
      <x:c r="E8" s="38" t="n">
        <x:f>IFERROR(B8/C8,0)</x:f>
        <x:v>5226.62</x:v>
      </x:c>
      <x:c r="F8" s="38" t="n">
        <x:f>IFERROR(B8/D8,0)</x:f>
        <x:v>31.64963061644665</x:v>
      </x:c>
      <x:c r="G8" s="40" t="n">
        <x:f>B8/SUM($B$4:$B$25)</x:f>
        <x:v>0.04226178010471204</x:v>
      </x:c>
      <x:c r="H8" s="22" t="n">
        <x:f>RANK.EQ(B8,$B$4:$B$25,0)</x:f>
        <x:v>15</x:v>
      </x:c>
      <x:c r="M8" t="str">
        <x:v>Camilla Castle</x:v>
      </x:c>
      <x:c r="N8" s="16" t="n">
        <x:f>SUMIFS('Analysis Data'!$E$2:$E$1095,'Analysis Data'!$A$2:$A$1095,M8)</x:f>
        <x:v>196616</x:v>
      </x:c>
      <x:c r="O8" s="18" t="n">
        <x:f>COUNTIF('Analysis Data'!$A$2:$A$1095,M8)</x:f>
        <x:v>32</x:v>
      </x:c>
      <x:c r="P8" s="38" t="n">
        <x:f>IFERROR(N8/O8,0)</x:f>
        <x:v>6144.25</x:v>
      </x:c>
      <x:c r="Q8" s="40" t="n">
        <x:f>N8/SUM($N$4:$N$28)</x:f>
        <x:v>0.03179623602660252</x:v>
      </x:c>
      <x:c r="R8" s="22" t="n">
        <x:f>RANK.EQ(N8,$N$4:$N$28,0)</x:f>
        <x:v>23</x:v>
      </x:c>
    </x:row>
    <x:row r="9">
      <x:c r="A9" t="str">
        <x:v>Almond Choco</x:v>
      </x:c>
      <x:c r="B9" s="16" t="n">
        <x:f>SUMIFS('Analysis Data'!$E$2:$E$1095,'Analysis Data'!$C$2:$C$1095,A9)</x:f>
        <x:v>277536</x:v>
      </x:c>
      <x:c r="C9" s="18" t="n">
        <x:f>COUNTIF('Analysis Data'!$C$2:$C$1095,A9)</x:f>
        <x:v>48</x:v>
      </x:c>
      <x:c r="D9" s="18" t="n">
        <x:f>SUMIFS('Analysis Data'!$F$2:$F$1095,'Analysis Data'!$C$2:$C$1095,A9)</x:f>
        <x:v>6736</x:v>
      </x:c>
      <x:c r="E9" s="38" t="n">
        <x:f>IFERROR(B9/C9,0)</x:f>
        <x:v>5782</x:v>
      </x:c>
      <x:c r="F9" s="38" t="n">
        <x:f>IFERROR(B9/D9,0)</x:f>
        <x:v>41.20190023752969</x:v>
      </x:c>
      <x:c r="G9" s="40" t="n">
        <x:f>B9/SUM($B$4:$B$25)</x:f>
        <x:v>0.04488241120701854</x:v>
      </x:c>
      <x:c r="H9" s="22" t="n">
        <x:f>RANK.EQ(B9,$B$4:$B$25,0)</x:f>
        <x:v>11</x:v>
      </x:c>
      <x:c r="M9" t="str">
        <x:v>Ches Bonnell</x:v>
      </x:c>
      <x:c r="N9" s="16" t="n">
        <x:f>SUMIFS('Analysis Data'!$E$2:$E$1095,'Analysis Data'!$A$2:$A$1095,M9)</x:f>
        <x:v>320901</x:v>
      </x:c>
      <x:c r="O9" s="18" t="n">
        <x:f>COUNTIF('Analysis Data'!$A$2:$A$1095,M9)</x:f>
        <x:v>48</x:v>
      </x:c>
      <x:c r="P9" s="38" t="n">
        <x:f>IFERROR(N9/O9,0)</x:f>
        <x:v>6685.4375</x:v>
      </x:c>
      <x:c r="Q9" s="40" t="n">
        <x:f>N9/SUM($N$4:$N$28)</x:f>
        <x:v>0.05189528795811518</x:v>
      </x:c>
      <x:c r="R9" s="22" t="n">
        <x:f>RANK.EQ(N9,$N$4:$N$28,0)</x:f>
        <x:v>1</x:v>
      </x:c>
    </x:row>
    <x:row r="10">
      <x:c r="A10" t="str">
        <x:v>Baker's Choco Chips</x:v>
      </x:c>
      <x:c r="B10" s="16" t="n">
        <x:f>SUMIFS('Analysis Data'!$E$2:$E$1095,'Analysis Data'!$C$2:$C$1095,A10)</x:f>
        <x:v>249613</x:v>
      </x:c>
      <x:c r="C10" s="18" t="n">
        <x:f>COUNTIF('Analysis Data'!$C$2:$C$1095,A10)</x:f>
        <x:v>41</x:v>
      </x:c>
      <x:c r="D10" s="18" t="n">
        <x:f>SUMIFS('Analysis Data'!$F$2:$F$1095,'Analysis Data'!$C$2:$C$1095,A10)</x:f>
        <x:v>6998</x:v>
      </x:c>
      <x:c r="E10" s="38" t="n">
        <x:f>IFERROR(B10/C10,0)</x:f>
        <x:v>6088.121951219512</x:v>
      </x:c>
      <x:c r="F10" s="38" t="n">
        <x:f>IFERROR(B10/D10,0)</x:f>
        <x:v>35.669191197485</x:v>
      </x:c>
      <x:c r="G10" s="40" t="n">
        <x:f>B10/SUM($B$4:$B$25)</x:f>
        <x:v>0.04036677515211547</x:v>
      </x:c>
      <x:c r="H10" s="22" t="n">
        <x:f>RANK.EQ(B10,$B$4:$B$25,0)</x:f>
        <x:v>19</x:v>
      </x:c>
      <x:c r="M10" t="str">
        <x:v>Curtice Advani</x:v>
      </x:c>
      <x:c r="N10" s="16" t="n">
        <x:f>SUMIFS('Analysis Data'!$E$2:$E$1095,'Analysis Data'!$A$2:$A$1095,M10)</x:f>
        <x:v>216461</x:v>
      </x:c>
      <x:c r="O10" s="18" t="n">
        <x:f>COUNTIF('Analysis Data'!$A$2:$A$1095,M10)</x:f>
        <x:v>46</x:v>
      </x:c>
      <x:c r="P10" s="38" t="n">
        <x:f>IFERROR(N10/O10,0)</x:f>
        <x:v>4705.673913043478</x:v>
      </x:c>
      <x:c r="Q10" s="40" t="n">
        <x:f>N10/SUM($N$4:$N$28)</x:f>
        <x:v>0.03500551860761285</x:v>
      </x:c>
      <x:c r="R10" s="22" t="n">
        <x:f>RANK.EQ(N10,$N$4:$N$28,0)</x:f>
        <x:v>18</x:v>
      </x:c>
    </x:row>
    <x:row r="11">
      <x:c r="A11" t="str">
        <x:v>Caramel Stuffed Bars</x:v>
      </x:c>
      <x:c r="B11" s="16" t="n">
        <x:f>SUMIFS('Analysis Data'!$E$2:$E$1095,'Analysis Data'!$C$2:$C$1095,A11)</x:f>
        <x:v>231588</x:v>
      </x:c>
      <x:c r="C11" s="18" t="n">
        <x:f>COUNTIF('Analysis Data'!$C$2:$C$1095,A11)</x:f>
        <x:v>43</x:v>
      </x:c>
      <x:c r="D11" s="18" t="n">
        <x:f>SUMIFS('Analysis Data'!$F$2:$F$1095,'Analysis Data'!$C$2:$C$1095,A11)</x:f>
        <x:v>8717</x:v>
      </x:c>
      <x:c r="E11" s="38" t="n">
        <x:f>IFERROR(B11/C11,0)</x:f>
        <x:v>5385.767441860465</x:v>
      </x:c>
      <x:c r="F11" s="38" t="n">
        <x:f>IFERROR(B11/D11,0)</x:f>
        <x:v>26.567397040266147</x:v>
      </x:c>
      <x:c r="G11" s="40" t="n">
        <x:f>B11/SUM($B$4:$B$25)</x:f>
        <x:v>0.037451818310457054</x:v>
      </x:c>
      <x:c r="H11" s="22" t="n">
        <x:f>RANK.EQ(B11,$B$4:$B$25,0)</x:f>
        <x:v>21</x:v>
      </x:c>
      <x:c r="M11" t="str">
        <x:v>Dennison Crosswaite</x:v>
      </x:c>
      <x:c r="N11" s="16" t="n">
        <x:f>SUMIFS('Analysis Data'!$E$2:$E$1095,'Analysis Data'!$A$2:$A$1095,M11)</x:f>
        <x:v>291669</x:v>
      </x:c>
      <x:c r="O11" s="18" t="n">
        <x:f>COUNTIF('Analysis Data'!$A$2:$A$1095,M11)</x:f>
        <x:v>49</x:v>
      </x:c>
      <x:c r="P11" s="38" t="n">
        <x:f>IFERROR(N11/O11,0)</x:f>
        <x:v>5952.428571428572</x:v>
      </x:c>
      <x:c r="Q11" s="40" t="n">
        <x:f>N11/SUM($N$4:$N$28)</x:f>
        <x:v>0.04716796377529362</x:v>
      </x:c>
      <x:c r="R11" s="22" t="n">
        <x:f>RANK.EQ(N11,$N$4:$N$28,0)</x:f>
        <x:v>7</x:v>
      </x:c>
    </x:row>
    <x:row r="12">
      <x:c r="A12" t="str">
        <x:v>Choco Coated Almonds</x:v>
      </x:c>
      <x:c r="B12" s="16" t="n">
        <x:f>SUMIFS('Analysis Data'!$E$2:$E$1095,'Analysis Data'!$C$2:$C$1095,A12)</x:f>
        <x:v>241486</x:v>
      </x:c>
      <x:c r="C12" s="18" t="n">
        <x:f>COUNTIF('Analysis Data'!$C$2:$C$1095,A12)</x:f>
        <x:v>39</x:v>
      </x:c>
      <x:c r="D12" s="18" t="n">
        <x:f>SUMIFS('Analysis Data'!$F$2:$F$1095,'Analysis Data'!$C$2:$C$1095,A12)</x:f>
        <x:v>6464</x:v>
      </x:c>
      <x:c r="E12" s="38" t="n">
        <x:f>IFERROR(B12/C12,0)</x:f>
        <x:v>6191.948717948718</x:v>
      </x:c>
      <x:c r="F12" s="38" t="n">
        <x:f>IFERROR(B12/D12,0)</x:f>
        <x:v>37.35860148514851</x:v>
      </x:c>
      <x:c r="G12" s="40" t="n">
        <x:f>B12/SUM($B$4:$B$25)</x:f>
        <x:v>0.03905249752370171</x:v>
      </x:c>
      <x:c r="H12" s="22" t="n">
        <x:f>RANK.EQ(B12,$B$4:$B$25,0)</x:f>
        <x:v>20</x:v>
      </x:c>
      <x:c r="M12" t="str">
        <x:v>Dotty Strutley</x:v>
      </x:c>
      <x:c r="N12" s="16" t="n">
        <x:f>SUMIFS('Analysis Data'!$E$2:$E$1095,'Analysis Data'!$A$2:$A$1095,M12)</x:f>
        <x:v>190624</x:v>
      </x:c>
      <x:c r="O12" s="18" t="n">
        <x:f>COUNTIF('Analysis Data'!$A$2:$A$1095,M12)</x:f>
        <x:v>36</x:v>
      </x:c>
      <x:c r="P12" s="38" t="n">
        <x:f>IFERROR(N12/O12,0)</x:f>
        <x:v>5295.111111111111</x:v>
      </x:c>
      <x:c r="Q12" s="40" t="n">
        <x:f>N12/SUM($N$4:$N$28)</x:f>
        <x:v>0.030827225130890052</x:v>
      </x:c>
      <x:c r="R12" s="22" t="n">
        <x:f>RANK.EQ(N12,$N$4:$N$28,0)</x:f>
        <x:v>24</x:v>
      </x:c>
    </x:row>
    <x:row r="13">
      <x:c r="A13" t="str">
        <x:v>Drinking Coco</x:v>
      </x:c>
      <x:c r="B13" s="16" t="n">
        <x:f>SUMIFS('Analysis Data'!$E$2:$E$1095,'Analysis Data'!$C$2:$C$1095,A13)</x:f>
        <x:v>256655</x:v>
      </x:c>
      <x:c r="C13" s="18" t="n">
        <x:f>COUNTIF('Analysis Data'!$C$2:$C$1095,A13)</x:f>
        <x:v>56</x:v>
      </x:c>
      <x:c r="D13" s="18" t="n">
        <x:f>SUMIFS('Analysis Data'!$F$2:$F$1095,'Analysis Data'!$C$2:$C$1095,A13)</x:f>
        <x:v>8660</x:v>
      </x:c>
      <x:c r="E13" s="38" t="n">
        <x:f>IFERROR(B13/C13,0)</x:f>
        <x:v>4583.125</x:v>
      </x:c>
      <x:c r="F13" s="38" t="n">
        <x:f>IFERROR(B13/D13,0)</x:f>
        <x:v>29.636836027713628</x:v>
      </x:c>
      <x:c r="G13" s="40" t="n">
        <x:f>B13/SUM($B$4:$B$25)</x:f>
        <x:v>0.0415055893589925</x:v>
      </x:c>
      <x:c r="H13" s="22" t="n">
        <x:f>RANK.EQ(B13,$B$4:$B$25,0)</x:f>
        <x:v>17</x:v>
      </x:c>
      <x:c r="M13" t="str">
        <x:v>Gigi Bohling</x:v>
      </x:c>
      <x:c r="N13" s="16" t="n">
        <x:f>SUMIFS('Analysis Data'!$E$2:$E$1095,'Analysis Data'!$A$2:$A$1095,M13)</x:f>
        <x:v>232666</x:v>
      </x:c>
      <x:c r="O13" s="18" t="n">
        <x:f>COUNTIF('Analysis Data'!$A$2:$A$1095,M13)</x:f>
        <x:v>47</x:v>
      </x:c>
      <x:c r="P13" s="38" t="n">
        <x:f>IFERROR(N13/O13,0)</x:f>
        <x:v>4950.340425531915</x:v>
      </x:c>
      <x:c r="Q13" s="40" t="n">
        <x:f>N13/SUM($N$4:$N$28)</x:f>
        <x:v>0.03762614970991934</x:v>
      </x:c>
      <x:c r="R13" s="22" t="n">
        <x:f>RANK.EQ(N13,$N$4:$N$28,0)</x:f>
        <x:v>14</x:v>
      </x:c>
    </x:row>
    <x:row r="14">
      <x:c r="A14" t="str">
        <x:v>Eclairs</x:v>
      </x:c>
      <x:c r="B14" s="16" t="n">
        <x:f>SUMIFS('Analysis Data'!$E$2:$E$1095,'Analysis Data'!$C$2:$C$1095,A14)</x:f>
        <x:v>312445</x:v>
      </x:c>
      <x:c r="C14" s="18" t="n">
        <x:f>COUNTIF('Analysis Data'!$C$2:$C$1095,A14)</x:f>
        <x:v>60</x:v>
      </x:c>
      <x:c r="D14" s="18" t="n">
        <x:f>SUMIFS('Analysis Data'!$F$2:$F$1095,'Analysis Data'!$C$2:$C$1095,A14)</x:f>
        <x:v>8757</x:v>
      </x:c>
      <x:c r="E14" s="38" t="n">
        <x:f>IFERROR(B14/C14,0)</x:f>
        <x:v>5207.416666666667</x:v>
      </x:c>
      <x:c r="F14" s="38" t="n">
        <x:f>IFERROR(B14/D14,0)</x:f>
        <x:v>35.67945643485212</x:v>
      </x:c>
      <x:c r="G14" s="40" t="n">
        <x:f>B14/SUM($B$4:$B$25)</x:f>
        <x:v>0.0505278052922032</x:v>
      </x:c>
      <x:c r="H14" s="22" t="n">
        <x:f>RANK.EQ(B14,$B$4:$B$25,0)</x:f>
        <x:v>5</x:v>
      </x:c>
      <x:c r="M14" t="str">
        <x:v>Gunar Cockshoot</x:v>
      </x:c>
      <x:c r="N14" s="16" t="n">
        <x:f>SUMIFS('Analysis Data'!$E$2:$E$1095,'Analysis Data'!$A$2:$A$1095,M14)</x:f>
        <x:v>238483</x:v>
      </x:c>
      <x:c r="O14" s="18" t="n">
        <x:f>COUNTIF('Analysis Data'!$A$2:$A$1095,M14)</x:f>
        <x:v>43</x:v>
      </x:c>
      <x:c r="P14" s="38" t="n">
        <x:f>IFERROR(N14/O14,0)</x:f>
        <x:v>5546.116279069767</x:v>
      </x:c>
      <x:c r="Q14" s="40" t="n">
        <x:f>N14/SUM($N$4:$N$28)</x:f>
        <x:v>0.03856686005377105</x:v>
      </x:c>
      <x:c r="R14" s="22" t="n">
        <x:f>RANK.EQ(N14,$N$4:$N$28,0)</x:f>
        <x:v>13</x:v>
      </x:c>
    </x:row>
    <x:row r="15">
      <x:c r="A15" t="str">
        <x:v>Fruit &amp; Nut Bars</x:v>
      </x:c>
      <x:c r="B15" s="16" t="n">
        <x:f>SUMIFS('Analysis Data'!$E$2:$E$1095,'Analysis Data'!$C$2:$C$1095,A15)</x:f>
        <x:v>259147</x:v>
      </x:c>
      <x:c r="C15" s="18" t="n">
        <x:f>COUNTIF('Analysis Data'!$C$2:$C$1095,A15)</x:f>
        <x:v>50</x:v>
      </x:c>
      <x:c r="D15" s="18" t="n">
        <x:f>SUMIFS('Analysis Data'!$F$2:$F$1095,'Analysis Data'!$C$2:$C$1095,A15)</x:f>
        <x:v>7738</x:v>
      </x:c>
      <x:c r="E15" s="38" t="n">
        <x:f>IFERROR(B15/C15,0)</x:f>
        <x:v>5182.94</x:v>
      </x:c>
      <x:c r="F15" s="38" t="n">
        <x:f>IFERROR(B15/D15,0)</x:f>
        <x:v>33.4901783406565</x:v>
      </x:c>
      <x:c r="G15" s="40" t="n">
        <x:f>B15/SUM($B$4:$B$25)</x:f>
        <x:v>0.04190858921748974</x:v>
      </x:c>
      <x:c r="H15" s="22" t="n">
        <x:f>RANK.EQ(B15,$B$4:$B$25,0)</x:f>
        <x:v>16</x:v>
      </x:c>
      <x:c r="M15" t="str">
        <x:v>Husein Augar</x:v>
      </x:c>
      <x:c r="N15" s="16" t="n">
        <x:f>SUMIFS('Analysis Data'!$E$2:$E$1095,'Analysis Data'!$A$2:$A$1095,M15)</x:f>
        <x:v>205212</x:v>
      </x:c>
      <x:c r="O15" s="18" t="n">
        <x:f>COUNTIF('Analysis Data'!$A$2:$A$1095,M15)</x:f>
        <x:v>38</x:v>
      </x:c>
      <x:c r="P15" s="38" t="n">
        <x:f>IFERROR(N15/O15,0)</x:f>
        <x:v>5400.315789473684</x:v>
      </x:c>
      <x:c r="Q15" s="40" t="n">
        <x:f>N15/SUM($N$4:$N$28)</x:f>
        <x:v>0.03318635913400311</x:v>
      </x:c>
      <x:c r="R15" s="22" t="n">
        <x:f>RANK.EQ(N15,$N$4:$N$28,0)</x:f>
        <x:v>20</x:v>
      </x:c>
    </x:row>
    <x:row r="16">
      <x:c r="A16" t="str">
        <x:v>Manuka Honey Choco</x:v>
      </x:c>
      <x:c r="B16" s="16" t="n">
        <x:f>SUMIFS('Analysis Data'!$E$2:$E$1095,'Analysis Data'!$C$2:$C$1095,A16)</x:f>
        <x:v>275541</x:v>
      </x:c>
      <x:c r="C16" s="18" t="n">
        <x:f>COUNTIF('Analysis Data'!$C$2:$C$1095,A16)</x:f>
        <x:v>45</x:v>
      </x:c>
      <x:c r="D16" s="18" t="n">
        <x:f>SUMIFS('Analysis Data'!$F$2:$F$1095,'Analysis Data'!$C$2:$C$1095,A16)</x:f>
        <x:v>7781</x:v>
      </x:c>
      <x:c r="E16" s="38" t="n">
        <x:f>IFERROR(B16/C16,0)</x:f>
        <x:v>6123.133333333333</x:v>
      </x:c>
      <x:c r="F16" s="38" t="n">
        <x:f>IFERROR(B16/D16,0)</x:f>
        <x:v>35.41202930214625</x:v>
      </x:c>
      <x:c r="G16" s="40" t="n">
        <x:f>B16/SUM($B$4:$B$25)</x:f>
        <x:v>0.04455978491580586</x:v>
      </x:c>
      <x:c r="H16" s="22" t="n">
        <x:f>RANK.EQ(B16,$B$4:$B$25,0)</x:f>
        <x:v>12</x:v>
      </x:c>
      <x:c r="M16" t="str">
        <x:v>Jan Morforth</x:v>
      </x:c>
      <x:c r="N16" s="16" t="n">
        <x:f>SUMIFS('Analysis Data'!$E$2:$E$1095,'Analysis Data'!$A$2:$A$1095,M16)</x:f>
        <x:v>219667</x:v>
      </x:c>
      <x:c r="O16" s="18" t="n">
        <x:f>COUNTIF('Analysis Data'!$A$2:$A$1095,M16)</x:f>
        <x:v>39</x:v>
      </x:c>
      <x:c r="P16" s="38" t="n">
        <x:f>IFERROR(N16/O16,0)</x:f>
        <x:v>5632.48717948718</x:v>
      </x:c>
      <x:c r="Q16" s="40" t="n">
        <x:f>N16/SUM($N$4:$N$28)</x:f>
        <x:v>0.035523984717702</x:v>
      </x:c>
      <x:c r="R16" s="22" t="n">
        <x:f>RANK.EQ(N16,$N$4:$N$28,0)</x:f>
        <x:v>17</x:v>
      </x:c>
    </x:row>
    <x:row r="17">
      <x:c r="A17" t="str">
        <x:v>Milk Bars</x:v>
      </x:c>
      <x:c r="B17" s="16" t="n">
        <x:f>SUMIFS('Analysis Data'!$E$2:$E$1095,'Analysis Data'!$C$2:$C$1095,A17)</x:f>
        <x:v>269248</x:v>
      </x:c>
      <x:c r="C17" s="18" t="n">
        <x:f>COUNTIF('Analysis Data'!$C$2:$C$1095,A17)</x:f>
        <x:v>49</x:v>
      </x:c>
      <x:c r="D17" s="18" t="n">
        <x:f>SUMIFS('Analysis Data'!$F$2:$F$1095,'Analysis Data'!$C$2:$C$1095,A17)</x:f>
        <x:v>8330</x:v>
      </x:c>
      <x:c r="E17" s="38" t="n">
        <x:f>IFERROR(B17/C17,0)</x:f>
        <x:v>5494.857142857143</x:v>
      </x:c>
      <x:c r="F17" s="38" t="n">
        <x:f>IFERROR(B17/D17,0)</x:f>
        <x:v>32.32268907563025</x:v>
      </x:c>
      <x:c r="G17" s="40" t="n">
        <x:f>B17/SUM($B$4:$B$25)</x:f>
        <x:v>0.043542097070892884</x:v>
      </x:c>
      <x:c r="H17" s="22" t="n">
        <x:f>RANK.EQ(B17,$B$4:$B$25,0)</x:f>
        <x:v>13</x:v>
      </x:c>
      <x:c r="M17" t="str">
        <x:v>Jehu Rudeforth</x:v>
      </x:c>
      <x:c r="N17" s="16" t="n">
        <x:f>SUMIFS('Analysis Data'!$E$2:$E$1095,'Analysis Data'!$A$2:$A$1095,M17)</x:f>
        <x:v>220976</x:v>
      </x:c>
      <x:c r="O17" s="18" t="n">
        <x:f>COUNTIF('Analysis Data'!$A$2:$A$1095,M17)</x:f>
        <x:v>43</x:v>
      </x:c>
      <x:c r="P17" s="38" t="n">
        <x:f>IFERROR(N17/O17,0)</x:f>
        <x:v>5138.976744186047</x:v>
      </x:c>
      <x:c r="Q17" s="40" t="n">
        <x:f>N17/SUM($N$4:$N$28)</x:f>
        <x:v>0.035735672845620486</x:v>
      </x:c>
      <x:c r="R17" s="22" t="n">
        <x:f>RANK.EQ(N17,$N$4:$N$28,0)</x:f>
        <x:v>16</x:v>
      </x:c>
    </x:row>
    <x:row r="18">
      <x:c r="A18" t="str">
        <x:v>Mint Chip Choco</x:v>
      </x:c>
      <x:c r="B18" s="16" t="n">
        <x:f>SUMIFS('Analysis Data'!$E$2:$E$1095,'Analysis Data'!$C$2:$C$1095,A18)</x:f>
        <x:v>283969</x:v>
      </x:c>
      <x:c r="C18" s="18" t="n">
        <x:f>COUNTIF('Analysis Data'!$C$2:$C$1095,A18)</x:f>
        <x:v>45</x:v>
      </x:c>
      <x:c r="D18" s="18" t="n">
        <x:f>SUMIFS('Analysis Data'!$F$2:$F$1095,'Analysis Data'!$C$2:$C$1095,A18)</x:f>
        <x:v>8207</x:v>
      </x:c>
      <x:c r="E18" s="38" t="n">
        <x:f>IFERROR(B18/C18,0)</x:f>
        <x:v>6310.422222222222</x:v>
      </x:c>
      <x:c r="F18" s="38" t="n">
        <x:f>IFERROR(B18/D18,0)</x:f>
        <x:v>34.600828560984525</x:v>
      </x:c>
      <x:c r="G18" s="40" t="n">
        <x:f>B18/SUM($B$4:$B$25)</x:f>
        <x:v>0.04592273949342012</x:v>
      </x:c>
      <x:c r="H18" s="22" t="n">
        <x:f>RANK.EQ(B18,$B$4:$B$25,0)</x:f>
        <x:v>10</x:v>
      </x:c>
      <x:c r="M18" t="str">
        <x:v>Kaine Padly</x:v>
      </x:c>
      <x:c r="N18" s="16" t="n">
        <x:f>SUMIFS('Analysis Data'!$E$2:$E$1095,'Analysis Data'!$A$2:$A$1095,M18)</x:f>
        <x:v>266490</x:v>
      </x:c>
      <x:c r="O18" s="18" t="n">
        <x:f>COUNTIF('Analysis Data'!$A$2:$A$1095,M18)</x:f>
        <x:v>45</x:v>
      </x:c>
      <x:c r="P18" s="38" t="n">
        <x:f>IFERROR(N18/O18,0)</x:f>
        <x:v>5922</x:v>
      </x:c>
      <x:c r="Q18" s="40" t="n">
        <x:f>N18/SUM($N$4:$N$28)</x:f>
        <x:v>0.04309608037356728</x:v>
      </x:c>
      <x:c r="R18" s="22" t="n">
        <x:f>RANK.EQ(N18,$N$4:$N$28,0)</x:f>
        <x:v>9</x:v>
      </x:c>
    </x:row>
    <x:row r="19">
      <x:c r="A19" t="str">
        <x:v>Orange Choco</x:v>
      </x:c>
      <x:c r="B19" s="16" t="n">
        <x:f>SUMIFS('Analysis Data'!$E$2:$E$1095,'Analysis Data'!$C$2:$C$1095,A19)</x:f>
        <x:v>256144</x:v>
      </x:c>
      <x:c r="C19" s="18" t="n">
        <x:f>COUNTIF('Analysis Data'!$C$2:$C$1095,A19)</x:f>
        <x:v>47</x:v>
      </x:c>
      <x:c r="D19" s="18" t="n">
        <x:f>SUMIFS('Analysis Data'!$F$2:$F$1095,'Analysis Data'!$C$2:$C$1095,A19)</x:f>
        <x:v>7732</x:v>
      </x:c>
      <x:c r="E19" s="38" t="n">
        <x:f>IFERROR(B19/C19,0)</x:f>
        <x:v>5449.872340425532</x:v>
      </x:c>
      <x:c r="F19" s="38" t="n">
        <x:f>IFERROR(B19/D19,0)</x:f>
        <x:v>33.127780651836524</x:v>
      </x:c>
      <x:c r="G19" s="40" t="n">
        <x:f>B19/SUM($B$4:$B$25)</x:f>
        <x:v>0.04142295174755908</x:v>
      </x:c>
      <x:c r="H19" s="22" t="n">
        <x:f>RANK.EQ(B19,$B$4:$B$25,0)</x:f>
        <x:v>18</x:v>
      </x:c>
      <x:c r="M19" t="str">
        <x:v>Karlen McCaffrey</x:v>
      </x:c>
      <x:c r="N19" s="16" t="n">
        <x:f>SUMIFS('Analysis Data'!$E$2:$E$1095,'Analysis Data'!$A$2:$A$1095,M19)</x:f>
        <x:v>223895</x:v>
      </x:c>
      <x:c r="O19" s="18" t="n">
        <x:f>COUNTIF('Analysis Data'!$A$2:$A$1095,M19)</x:f>
        <x:v>47</x:v>
      </x:c>
      <x:c r="P19" s="38" t="n">
        <x:f>IFERROR(N19/O19,0)</x:f>
        <x:v>4763.723404255319</x:v>
      </x:c>
      <x:c r="Q19" s="40" t="n">
        <x:f>N19/SUM($N$4:$N$28)</x:f>
        <x:v>0.03620772605065799</x:v>
      </x:c>
      <x:c r="R19" s="22" t="n">
        <x:f>RANK.EQ(N19,$N$4:$N$28,0)</x:f>
        <x:v>15</x:v>
      </x:c>
    </x:row>
    <x:row r="20">
      <x:c r="A20" t="str">
        <x:v>Organic Choco Syrup</x:v>
      </x:c>
      <x:c r="B20" s="16" t="n">
        <x:f>SUMIFS('Analysis Data'!$E$2:$E$1095,'Analysis Data'!$C$2:$C$1095,A20)</x:f>
        <x:v>294700</x:v>
      </x:c>
      <x:c r="C20" s="18" t="n">
        <x:f>COUNTIF('Analysis Data'!$C$2:$C$1095,A20)</x:f>
        <x:v>52</x:v>
      </x:c>
      <x:c r="D20" s="18" t="n">
        <x:f>SUMIFS('Analysis Data'!$F$2:$F$1095,'Analysis Data'!$C$2:$C$1095,A20)</x:f>
        <x:v>7749</x:v>
      </x:c>
      <x:c r="E20" s="38" t="n">
        <x:f>IFERROR(B20/C20,0)</x:f>
        <x:v>5667.307692307692</x:v>
      </x:c>
      <x:c r="F20" s="38" t="n">
        <x:f>IFERROR(B20/D20,0)</x:f>
        <x:v>38.030713640469735</x:v>
      </x:c>
      <x:c r="G20" s="40" t="n">
        <x:f>B20/SUM($B$4:$B$25)</x:f>
        <x:v>0.047658129333522</x:v>
      </x:c>
      <x:c r="H20" s="22" t="n">
        <x:f>RANK.EQ(B20,$B$4:$B$25,0)</x:f>
        <x:v>8</x:v>
      </x:c>
      <x:c r="M20" t="str">
        <x:v>Kelci Walkden</x:v>
      </x:c>
      <x:c r="N20" s="16" t="n">
        <x:f>SUMIFS('Analysis Data'!$E$2:$E$1095,'Analysis Data'!$A$2:$A$1095,M20)</x:f>
        <x:v>311710</x:v>
      </x:c>
      <x:c r="O20" s="18" t="n">
        <x:f>COUNTIF('Analysis Data'!$A$2:$A$1095,M20)</x:f>
        <x:v>54</x:v>
      </x:c>
      <x:c r="P20" s="38" t="n">
        <x:f>IFERROR(N20/O20,0)</x:f>
        <x:v>5772.407407407408</x:v>
      </x:c>
      <x:c r="Q20" s="40" t="n">
        <x:f>N20/SUM($N$4:$N$28)</x:f>
        <x:v>0.050408942974388</x:v>
      </x:c>
      <x:c r="R20" s="22" t="n">
        <x:f>RANK.EQ(N20,$N$4:$N$28,0)</x:f>
        <x:v>5</x:v>
      </x:c>
    </x:row>
    <x:row r="21">
      <x:c r="A21" t="str">
        <x:v>Peanut Butter Cubes</x:v>
      </x:c>
      <x:c r="B21" s="16" t="n">
        <x:f>SUMIFS('Analysis Data'!$E$2:$E$1095,'Analysis Data'!$C$2:$C$1095,A21)</x:f>
        <x:v>324842</x:v>
      </x:c>
      <x:c r="C21" s="18" t="n">
        <x:f>COUNTIF('Analysis Data'!$C$2:$C$1095,A21)</x:f>
        <x:v>49</x:v>
      </x:c>
      <x:c r="D21" s="18" t="n">
        <x:f>SUMIFS('Analysis Data'!$F$2:$F$1095,'Analysis Data'!$C$2:$C$1095,A21)</x:f>
        <x:v>8304</x:v>
      </x:c>
      <x:c r="E21" s="38" t="n">
        <x:f>IFERROR(B21/C21,0)</x:f>
        <x:v>6629.428571428572</x:v>
      </x:c>
      <x:c r="F21" s="38" t="n">
        <x:f>IFERROR(B21/D21,0)</x:f>
        <x:v>39.11873795761079</x:v>
      </x:c>
      <x:c r="G21" s="40" t="n">
        <x:f>B21/SUM($B$4:$B$25)</x:f>
        <x:v>0.052532616386019526</x:v>
      </x:c>
      <x:c r="H21" s="22" t="n">
        <x:f>RANK.EQ(B21,$B$4:$B$25,0)</x:f>
        <x:v>4</x:v>
      </x:c>
      <x:c r="M21" t="str">
        <x:v>Madelene Upcott</x:v>
      </x:c>
      <x:c r="N21" s="16" t="n">
        <x:f>SUMIFS('Analysis Data'!$E$2:$E$1095,'Analysis Data'!$A$2:$A$1095,M21)</x:f>
        <x:v>316099</x:v>
      </x:c>
      <x:c r="O21" s="18" t="n">
        <x:f>COUNTIF('Analysis Data'!$A$2:$A$1095,M21)</x:f>
        <x:v>45</x:v>
      </x:c>
      <x:c r="P21" s="38" t="n">
        <x:f>IFERROR(N21/O21,0)</x:f>
        <x:v>7024.422222222222</x:v>
      </x:c>
      <x:c r="Q21" s="40" t="n">
        <x:f>N21/SUM($N$4:$N$28)</x:f>
        <x:v>0.05111872081505589</x:v>
      </x:c>
      <x:c r="R21" s="22" t="n">
        <x:f>RANK.EQ(N21,$N$4:$N$28,0)</x:f>
        <x:v>3</x:v>
      </x:c>
    </x:row>
    <x:row r="22">
      <x:c r="A22" t="str">
        <x:v>Raspberry Choco</x:v>
      </x:c>
      <x:c r="B22" s="16" t="n">
        <x:f>SUMIFS('Analysis Data'!$E$2:$E$1095,'Analysis Data'!$C$2:$C$1095,A22)</x:f>
        <x:v>264740</x:v>
      </x:c>
      <x:c r="C22" s="18" t="n">
        <x:f>COUNTIF('Analysis Data'!$C$2:$C$1095,A22)</x:f>
        <x:v>48</x:v>
      </x:c>
      <x:c r="D22" s="18" t="n">
        <x:f>SUMIFS('Analysis Data'!$F$2:$F$1095,'Analysis Data'!$C$2:$C$1095,A22)</x:f>
        <x:v>7115</x:v>
      </x:c>
      <x:c r="E22" s="38" t="n">
        <x:f>IFERROR(B22/C22,0)</x:f>
        <x:v>5515.416666666667</x:v>
      </x:c>
      <x:c r="F22" s="38" t="n">
        <x:f>IFERROR(B22/D22,0)</x:f>
        <x:v>37.208713984539706</x:v>
      </x:c>
      <x:c r="G22" s="40" t="n">
        <x:f>B22/SUM($B$4:$B$25)</x:f>
        <x:v>0.04281307485495967</x:v>
      </x:c>
      <x:c r="H22" s="22" t="n">
        <x:f>RANK.EQ(B22,$B$4:$B$25,0)</x:f>
        <x:v>14</x:v>
      </x:c>
      <x:c r="M22" t="str">
        <x:v>Mallorie Waber</x:v>
      </x:c>
      <x:c r="N22" s="16" t="n">
        <x:f>SUMIFS('Analysis Data'!$E$2:$E$1095,'Analysis Data'!$A$2:$A$1095,M22)</x:f>
        <x:v>200592</x:v>
      </x:c>
      <x:c r="O22" s="18" t="n">
        <x:f>COUNTIF('Analysis Data'!$A$2:$A$1095,M22)</x:f>
        <x:v>41</x:v>
      </x:c>
      <x:c r="P22" s="38" t="n">
        <x:f>IFERROR(N22/O22,0)</x:f>
        <x:v>4892.487804878048</x:v>
      </x:c>
      <x:c r="Q22" s="40" t="n">
        <x:f>N22/SUM($N$4:$N$28)</x:f>
        <x:v>0.032439224564879014</x:v>
      </x:c>
      <x:c r="R22" s="22" t="n">
        <x:f>RANK.EQ(N22,$N$4:$N$28,0)</x:f>
        <x:v>22</x:v>
      </x:c>
    </x:row>
    <x:row r="23">
      <x:c r="A23" t="str">
        <x:v>Smooth Silky Salty</x:v>
      </x:c>
      <x:c r="B23" s="16" t="n">
        <x:f>SUMIFS('Analysis Data'!$E$2:$E$1095,'Analysis Data'!$C$2:$C$1095,A23)</x:f>
        <x:v>349692</x:v>
      </x:c>
      <x:c r="C23" s="18" t="n">
        <x:f>COUNTIF('Analysis Data'!$C$2:$C$1095,A23)</x:f>
        <x:v>59</x:v>
      </x:c>
      <x:c r="D23" s="18" t="n">
        <x:f>SUMIFS('Analysis Data'!$F$2:$F$1095,'Analysis Data'!$C$2:$C$1095,A23)</x:f>
        <x:v>8810</x:v>
      </x:c>
      <x:c r="E23" s="38" t="n">
        <x:f>IFERROR(B23/C23,0)</x:f>
        <x:v>5926.983050847458</x:v>
      </x:c>
      <x:c r="F23" s="38" t="n">
        <x:f>IFERROR(B23/D23,0)</x:f>
        <x:v>39.69262202043133</x:v>
      </x:c>
      <x:c r="G23" s="40" t="n">
        <x:f>B23/SUM($B$4:$B$25)</x:f>
        <x:v>0.05655129475024763</x:v>
      </x:c>
      <x:c r="H23" s="22" t="n">
        <x:f>RANK.EQ(B23,$B$4:$B$25,0)</x:f>
        <x:v>1</x:v>
      </x:c>
      <x:c r="M23" t="str">
        <x:v>Marney O'Breen</x:v>
      </x:c>
      <x:c r="N23" s="16" t="n">
        <x:f>SUMIFS('Analysis Data'!$E$2:$E$1095,'Analysis Data'!$A$2:$A$1095,M23)</x:f>
        <x:v>259742</x:v>
      </x:c>
      <x:c r="O23" s="18" t="n">
        <x:f>COUNTIF('Analysis Data'!$A$2:$A$1095,M23)</x:f>
        <x:v>45</x:v>
      </x:c>
      <x:c r="P23" s="38" t="n">
        <x:f>IFERROR(N23/O23,0)</x:f>
        <x:v>5772.044444444445</x:v>
      </x:c>
      <x:c r="Q23" s="40" t="n">
        <x:f>N23/SUM($N$4:$N$28)</x:f>
        <x:v>0.04200481109381633</x:v>
      </x:c>
      <x:c r="R23" s="22" t="n">
        <x:f>RANK.EQ(N23,$N$4:$N$28,0)</x:f>
        <x:v>10</x:v>
      </x:c>
    </x:row>
    <x:row r="24">
      <x:c r="A24" t="str">
        <x:v>Spicy Special Slims</x:v>
      </x:c>
      <x:c r="B24" s="16" t="n">
        <x:f>SUMIFS('Analysis Data'!$E$2:$E$1095,'Analysis Data'!$C$2:$C$1095,A24)</x:f>
        <x:v>293454</x:v>
      </x:c>
      <x:c r="C24" s="18" t="n">
        <x:f>COUNTIF('Analysis Data'!$C$2:$C$1095,A24)</x:f>
        <x:v>54</x:v>
      </x:c>
      <x:c r="D24" s="18" t="n">
        <x:f>SUMIFS('Analysis Data'!$F$2:$F$1095,'Analysis Data'!$C$2:$C$1095,A24)</x:f>
        <x:v>8685</x:v>
      </x:c>
      <x:c r="E24" s="38" t="n">
        <x:f>IFERROR(B24/C24,0)</x:f>
        <x:v>5434.333333333333</x:v>
      </x:c>
      <x:c r="F24" s="38" t="n">
        <x:f>IFERROR(B24/D24,0)</x:f>
        <x:v>33.788601036269434</x:v>
      </x:c>
      <x:c r="G24" s="40" t="n">
        <x:f>B24/SUM($B$4:$B$25)</x:f>
        <x:v>0.047456629404273386</x:v>
      </x:c>
      <x:c r="H24" s="22" t="n">
        <x:f>RANK.EQ(B24,$B$4:$B$25,0)</x:f>
        <x:v>9</x:v>
      </x:c>
      <x:c r="M24" t="str">
        <x:v>Oby Sorrel</x:v>
      </x:c>
      <x:c r="N24" s="16" t="n">
        <x:f>SUMIFS('Analysis Data'!$E$2:$E$1095,'Analysis Data'!$A$2:$A$1095,M24)</x:f>
        <x:v>316645</x:v>
      </x:c>
      <x:c r="O24" s="18" t="n">
        <x:f>COUNTIF('Analysis Data'!$A$2:$A$1095,M24)</x:f>
        <x:v>49</x:v>
      </x:c>
      <x:c r="P24" s="38" t="n">
        <x:f>IFERROR(N24/O24,0)</x:f>
        <x:v>6462.142857142857</x:v>
      </x:c>
      <x:c r="Q24" s="40" t="n">
        <x:f>N24/SUM($N$4:$N$28)</x:f>
        <x:v>0.05120701853686147</x:v>
      </x:c>
      <x:c r="R24" s="22" t="n">
        <x:f>RANK.EQ(N24,$N$4:$N$28,0)</x:f>
        <x:v>2</x:v>
      </x:c>
    </x:row>
    <x:row r="25">
      <x:c r="A25" t="str">
        <x:v>White Choc</x:v>
      </x:c>
      <x:c r="B25" s="16" t="n">
        <x:f>SUMIFS('Analysis Data'!$E$2:$E$1095,'Analysis Data'!$C$2:$C$1095,A25)</x:f>
        <x:v>329147</x:v>
      </x:c>
      <x:c r="C25" s="18" t="n">
        <x:f>COUNTIF('Analysis Data'!$C$2:$C$1095,A25)</x:f>
        <x:v>58</x:v>
      </x:c>
      <x:c r="D25" s="18" t="n">
        <x:f>SUMIFS('Analysis Data'!$F$2:$F$1095,'Analysis Data'!$C$2:$C$1095,A25)</x:f>
        <x:v>8240</x:v>
      </x:c>
      <x:c r="E25" s="38" t="n">
        <x:f>IFERROR(B25/C25,0)</x:f>
        <x:v>5674.948275862069</x:v>
      </x:c>
      <x:c r="F25" s="38" t="n">
        <x:f>IFERROR(B25/D25,0)</x:f>
        <x:v>39.94502427184466</x:v>
      </x:c>
      <x:c r="G25" s="40" t="n">
        <x:f>B25/SUM($B$4:$B$25)</x:f>
        <x:v>0.05322880996179426</x:v>
      </x:c>
      <x:c r="H25" s="22" t="n">
        <x:f>RANK.EQ(B25,$B$4:$B$25,0)</x:f>
        <x:v>3</x:v>
      </x:c>
      <x:c r="M25" t="str">
        <x:v>Rafaelita Blaksland</x:v>
      </x:c>
      <x:c r="N25" s="16" t="n">
        <x:f>SUMIFS('Analysis Data'!$E$2:$E$1095,'Analysis Data'!$A$2:$A$1095,M25)</x:f>
        <x:v>210245</x:v>
      </x:c>
      <x:c r="O25" s="18" t="n">
        <x:f>COUNTIF('Analysis Data'!$A$2:$A$1095,M25)</x:f>
        <x:v>34</x:v>
      </x:c>
      <x:c r="P25" s="38" t="n">
        <x:f>IFERROR(N25/O25,0)</x:f>
        <x:v>6183.676470588235</x:v>
      </x:c>
      <x:c r="Q25" s="40" t="n">
        <x:f>N25/SUM($N$4:$N$28)</x:f>
        <x:v>0.034000283005518606</x:v>
      </x:c>
      <x:c r="R25" s="22" t="n">
        <x:f>RANK.EQ(N25,$N$4:$N$28,0)</x:f>
        <x:v>19</x:v>
      </x:c>
    </x:row>
    <x:row r="26">
      <x:c r="M26" t="str">
        <x:v>Roddy Speechley</x:v>
      </x:c>
      <x:c r="N26" s="16" t="n">
        <x:f>SUMIFS('Analysis Data'!$E$2:$E$1095,'Analysis Data'!$A$2:$A$1095,M26)</x:f>
        <x:v>251062</x:v>
      </x:c>
      <x:c r="O26" s="18" t="n">
        <x:f>COUNTIF('Analysis Data'!$A$2:$A$1095,M26)</x:f>
        <x:v>43</x:v>
      </x:c>
      <x:c r="P26" s="38" t="n">
        <x:f>IFERROR(N26/O26,0)</x:f>
        <x:v>5838.6511627906975</x:v>
      </x:c>
      <x:c r="Q26" s="40" t="n">
        <x:f>N26/SUM($N$4:$N$28)</x:f>
        <x:v>0.04060110372152257</x:v>
      </x:c>
      <x:c r="R26" s="22" t="n">
        <x:f>RANK.EQ(N26,$N$4:$N$28,0)</x:f>
        <x:v>12</x:v>
      </x:c>
    </x:row>
    <x:row r="27">
      <x:c r="M27" t="str">
        <x:v>Van Tuxwell</x:v>
      </x:c>
      <x:c r="N27" s="16" t="n">
        <x:f>SUMIFS('Analysis Data'!$E$2:$E$1095,'Analysis Data'!$A$2:$A$1095,M27)</x:f>
        <x:v>303149</x:v>
      </x:c>
      <x:c r="O27" s="18" t="n">
        <x:f>COUNTIF('Analysis Data'!$A$2:$A$1095,M27)</x:f>
        <x:v>51</x:v>
      </x:c>
      <x:c r="P27" s="38" t="n">
        <x:f>IFERROR(N27/O27,0)</x:f>
        <x:v>5944.098039215686</x:v>
      </x:c>
      <x:c r="Q27" s="40" t="n">
        <x:f>N27/SUM($N$4:$N$28)</x:f>
        <x:v>0.04902447997735956</x:v>
      </x:c>
      <x:c r="R27" s="22" t="n">
        <x:f>RANK.EQ(N27,$N$4:$N$28,0)</x:f>
        <x:v>6</x:v>
      </x:c>
    </x:row>
    <x:row r="28">
      <x:c r="M28" t="str">
        <x:v>Wilone O'Kielt</x:v>
      </x:c>
      <x:c r="N28" s="16" t="n">
        <x:f>SUMIFS('Analysis Data'!$E$2:$E$1095,'Analysis Data'!$A$2:$A$1095,M28)</x:f>
        <x:v>138523</x:v>
      </x:c>
      <x:c r="O28" s="18" t="n">
        <x:f>COUNTIF('Analysis Data'!$A$2:$A$1095,M28)</x:f>
        <x:v>34</x:v>
      </x:c>
      <x:c r="P28" s="38" t="n">
        <x:f>IFERROR(N28/O28,0)</x:f>
        <x:v>4074.205882352941</x:v>
      </x:c>
      <x:c r="Q28" s="40" t="n">
        <x:f>N28/SUM($N$4:$N$28)</x:f>
        <x:v>0.022401584830904202</x:v>
      </x:c>
      <x:c r="R28" s="22" t="n">
        <x:f>RANK.EQ(N28,$N$4:$N$28,0)</x:f>
        <x:v>25</x:v>
      </x:c>
    </x:row>
    <x:row r="29">
      <x:c r="A29" s="168" t="str">
        <x:v>Country</x:v>
      </x:c>
      <x:c r="B29" s="168" t="str">
        <x:v>Jan</x:v>
      </x:c>
      <x:c r="C29" s="168" t="str">
        <x:v>Feb</x:v>
      </x:c>
      <x:c r="D29" s="168" t="str">
        <x:v>Mar</x:v>
      </x:c>
      <x:c r="E29" s="168" t="str">
        <x:v>Apr</x:v>
      </x:c>
      <x:c r="F29" s="168" t="str">
        <x:v>May</x:v>
      </x:c>
      <x:c r="G29" s="168" t="str">
        <x:v>Jun</x:v>
      </x:c>
      <x:c r="H29" s="168" t="str">
        <x:v>Jul</x:v>
      </x:c>
      <x:c r="I29" s="168" t="str">
        <x:v>Aug</x:v>
      </x:c>
      <x:c r="J29" s="168" t="str">
        <x:v>Total Revenue</x:v>
      </x:c>
      <x:c r="K29" s="168" t="str">
        <x:v>Trend</x:v>
      </x:c>
    </x:row>
    <x:row r="30">
      <x:c r="A30" t="str">
        <x:v>Australia</x:v>
      </x:c>
      <x:c r="B30" s="16" t="n">
        <x:f>SUMIFS('Analysis Data'!$E$2:$E$1095,'Analysis Data'!$B$2:$B$1095,$A30,'Analysis Data'!$I$2:$I$1095,1)</x:f>
        <x:v>187383</x:v>
      </x:c>
      <x:c r="C30" s="16" t="n">
        <x:f>SUMIFS('Analysis Data'!$E$2:$E$1095,'Analysis Data'!$B$2:$B$1095,$A30,'Analysis Data'!$I$2:$I$1095,2)</x:f>
        <x:v>126406</x:v>
      </x:c>
      <x:c r="D30" s="16" t="n">
        <x:f>SUMIFS('Analysis Data'!$E$2:$E$1095,'Analysis Data'!$B$2:$B$1095,$A30,'Analysis Data'!$I$2:$I$1095,3)</x:f>
        <x:v>165431</x:v>
      </x:c>
      <x:c r="E30" s="16" t="n">
        <x:f>SUMIFS('Analysis Data'!$E$2:$E$1095,'Analysis Data'!$B$2:$B$1095,$A30,'Analysis Data'!$I$2:$I$1095,4)</x:f>
        <x:v>120561</x:v>
      </x:c>
      <x:c r="F30" s="16" t="n">
        <x:f>SUMIFS('Analysis Data'!$E$2:$E$1095,'Analysis Data'!$B$2:$B$1095,$A30,'Analysis Data'!$I$2:$I$1095,5)</x:f>
        <x:v>124264</x:v>
      </x:c>
      <x:c r="G30" s="16" t="n">
        <x:f>SUMIFS('Analysis Data'!$E$2:$E$1095,'Analysis Data'!$B$2:$B$1095,$A30,'Analysis Data'!$I$2:$I$1095,6)</x:f>
        <x:v>145719</x:v>
      </x:c>
      <x:c r="H30" s="16" t="n">
        <x:f>SUMIFS('Analysis Data'!$E$2:$E$1095,'Analysis Data'!$B$2:$B$1095,$A30,'Analysis Data'!$I$2:$I$1095,7)</x:f>
        <x:v>131082</x:v>
      </x:c>
      <x:c r="I30" s="16" t="n">
        <x:f>SUMIFS('Analysis Data'!$E$2:$E$1095,'Analysis Data'!$B$2:$B$1095,$A30,'Analysis Data'!$I$2:$I$1095,8)</x:f>
        <x:v>136521</x:v>
      </x:c>
      <x:c r="J30" s="16" t="n">
        <x:f>SUM(B30:I30)</x:f>
        <x:v>1137367</x:v>
      </x:c>
    </x:row>
    <x:row r="31">
      <x:c r="A31" t="str">
        <x:v>Canada</x:v>
      </x:c>
      <x:c r="B31" s="16" t="n">
        <x:f>SUMIFS('Analysis Data'!$E$2:$E$1095,'Analysis Data'!$B$2:$B$1095,$A31,'Analysis Data'!$I$2:$I$1095,1)</x:f>
        <x:v>143997</x:v>
      </x:c>
      <x:c r="C31" s="16" t="n">
        <x:f>SUMIFS('Analysis Data'!$E$2:$E$1095,'Analysis Data'!$B$2:$B$1095,$A31,'Analysis Data'!$I$2:$I$1095,2)</x:f>
        <x:v>134456</x:v>
      </x:c>
      <x:c r="D31" s="16" t="n">
        <x:f>SUMIFS('Analysis Data'!$E$2:$E$1095,'Analysis Data'!$B$2:$B$1095,$A31,'Analysis Data'!$I$2:$I$1095,3)</x:f>
        <x:v>129409</x:v>
      </x:c>
      <x:c r="E31" s="16" t="n">
        <x:f>SUMIFS('Analysis Data'!$E$2:$E$1095,'Analysis Data'!$B$2:$B$1095,$A31,'Analysis Data'!$I$2:$I$1095,4)</x:f>
        <x:v>89194</x:v>
      </x:c>
      <x:c r="F31" s="16" t="n">
        <x:f>SUMIFS('Analysis Data'!$E$2:$E$1095,'Analysis Data'!$B$2:$B$1095,$A31,'Analysis Data'!$I$2:$I$1095,5)</x:f>
        <x:v>85092</x:v>
      </x:c>
      <x:c r="G31" s="16" t="n">
        <x:f>SUMIFS('Analysis Data'!$E$2:$E$1095,'Analysis Data'!$B$2:$B$1095,$A31,'Analysis Data'!$I$2:$I$1095,6)</x:f>
        <x:v>87248</x:v>
      </x:c>
      <x:c r="H31" s="16" t="n">
        <x:f>SUMIFS('Analysis Data'!$E$2:$E$1095,'Analysis Data'!$B$2:$B$1095,$A31,'Analysis Data'!$I$2:$I$1095,7)</x:f>
        <x:v>159166</x:v>
      </x:c>
      <x:c r="I31" s="16" t="n">
        <x:f>SUMIFS('Analysis Data'!$E$2:$E$1095,'Analysis Data'!$B$2:$B$1095,$A31,'Analysis Data'!$I$2:$I$1095,8)</x:f>
        <x:v>134337</x:v>
      </x:c>
      <x:c r="J31" s="16" t="n">
        <x:f>SUM(B31:I31)</x:f>
        <x:v>962899</x:v>
      </x:c>
    </x:row>
    <x:row r="32">
      <x:c r="A32" t="str">
        <x:v>India</x:v>
      </x:c>
      <x:c r="B32" s="16" t="n">
        <x:f>SUMIFS('Analysis Data'!$E$2:$E$1095,'Analysis Data'!$B$2:$B$1095,$A32,'Analysis Data'!$I$2:$I$1095,1)</x:f>
        <x:v>143430</x:v>
      </x:c>
      <x:c r="C32" s="16" t="n">
        <x:f>SUMIFS('Analysis Data'!$E$2:$E$1095,'Analysis Data'!$B$2:$B$1095,$A32,'Analysis Data'!$I$2:$I$1095,2)</x:f>
        <x:v>83888</x:v>
      </x:c>
      <x:c r="D32" s="16" t="n">
        <x:f>SUMIFS('Analysis Data'!$E$2:$E$1095,'Analysis Data'!$B$2:$B$1095,$A32,'Analysis Data'!$I$2:$I$1095,3)</x:f>
        <x:v>96033</x:v>
      </x:c>
      <x:c r="E32" s="16" t="n">
        <x:f>SUMIFS('Analysis Data'!$E$2:$E$1095,'Analysis Data'!$B$2:$B$1095,$A32,'Analysis Data'!$I$2:$I$1095,4)</x:f>
        <x:v>117383</x:v>
      </x:c>
      <x:c r="F32" s="16" t="n">
        <x:f>SUMIFS('Analysis Data'!$E$2:$E$1095,'Analysis Data'!$B$2:$B$1095,$A32,'Analysis Data'!$I$2:$I$1095,5)</x:f>
        <x:v>141099</x:v>
      </x:c>
      <x:c r="G32" s="16" t="n">
        <x:f>SUMIFS('Analysis Data'!$E$2:$E$1095,'Analysis Data'!$B$2:$B$1095,$A32,'Analysis Data'!$I$2:$I$1095,6)</x:f>
        <x:v>140413</x:v>
      </x:c>
      <x:c r="H32" s="16" t="n">
        <x:f>SUMIFS('Analysis Data'!$E$2:$E$1095,'Analysis Data'!$B$2:$B$1095,$A32,'Analysis Data'!$I$2:$I$1095,7)</x:f>
        <x:v>175308</x:v>
      </x:c>
      <x:c r="I32" s="16" t="n">
        <x:f>SUMIFS('Analysis Data'!$E$2:$E$1095,'Analysis Data'!$B$2:$B$1095,$A32,'Analysis Data'!$I$2:$I$1095,8)</x:f>
        <x:v>148246</x:v>
      </x:c>
      <x:c r="J32" s="16" t="n">
        <x:f>SUM(B32:I32)</x:f>
        <x:v>1045800</x:v>
      </x:c>
    </x:row>
    <x:row r="33">
      <x:c r="A33" t="str">
        <x:v>New Zealand</x:v>
      </x:c>
      <x:c r="B33" s="16" t="n">
        <x:f>SUMIFS('Analysis Data'!$E$2:$E$1095,'Analysis Data'!$B$2:$B$1095,$A33,'Analysis Data'!$I$2:$I$1095,1)</x:f>
        <x:v>124488</x:v>
      </x:c>
      <x:c r="C33" s="16" t="n">
        <x:f>SUMIFS('Analysis Data'!$E$2:$E$1095,'Analysis Data'!$B$2:$B$1095,$A33,'Analysis Data'!$I$2:$I$1095,2)</x:f>
        <x:v>132293</x:v>
      </x:c>
      <x:c r="D33" s="16" t="n">
        <x:f>SUMIFS('Analysis Data'!$E$2:$E$1095,'Analysis Data'!$B$2:$B$1095,$A33,'Analysis Data'!$I$2:$I$1095,3)</x:f>
        <x:v>139020</x:v>
      </x:c>
      <x:c r="E33" s="16" t="n">
        <x:f>SUMIFS('Analysis Data'!$E$2:$E$1095,'Analysis Data'!$B$2:$B$1095,$A33,'Analysis Data'!$I$2:$I$1095,4)</x:f>
        <x:v>105854</x:v>
      </x:c>
      <x:c r="F33" s="16" t="n">
        <x:f>SUMIFS('Analysis Data'!$E$2:$E$1095,'Analysis Data'!$B$2:$B$1095,$A33,'Analysis Data'!$I$2:$I$1095,5)</x:f>
        <x:v>91301</x:v>
      </x:c>
      <x:c r="G33" s="16" t="n">
        <x:f>SUMIFS('Analysis Data'!$E$2:$E$1095,'Analysis Data'!$B$2:$B$1095,$A33,'Analysis Data'!$I$2:$I$1095,6)</x:f>
        <x:v>166838</x:v>
      </x:c>
      <x:c r="H33" s="16" t="n">
        <x:f>SUMIFS('Analysis Data'!$E$2:$E$1095,'Analysis Data'!$B$2:$B$1095,$A33,'Analysis Data'!$I$2:$I$1095,7)</x:f>
        <x:v>82712</x:v>
      </x:c>
      <x:c r="I33" s="16" t="n">
        <x:f>SUMIFS('Analysis Data'!$E$2:$E$1095,'Analysis Data'!$B$2:$B$1095,$A33,'Analysis Data'!$I$2:$I$1095,8)</x:f>
        <x:v>107912</x:v>
      </x:c>
      <x:c r="J33" s="16" t="n">
        <x:f>SUM(B33:I33)</x:f>
        <x:v>950418</x:v>
      </x:c>
    </x:row>
    <x:row r="34">
      <x:c r="A34" t="str">
        <x:v>UK</x:v>
      </x:c>
      <x:c r="B34" s="16" t="n">
        <x:f>SUMIFS('Analysis Data'!$E$2:$E$1095,'Analysis Data'!$B$2:$B$1095,$A34,'Analysis Data'!$I$2:$I$1095,1)</x:f>
        <x:v>188531</x:v>
      </x:c>
      <x:c r="C34" s="16" t="n">
        <x:f>SUMIFS('Analysis Data'!$E$2:$E$1095,'Analysis Data'!$B$2:$B$1095,$A34,'Analysis Data'!$I$2:$I$1095,2)</x:f>
        <x:v>99904</x:v>
      </x:c>
      <x:c r="D34" s="16" t="n">
        <x:f>SUMIFS('Analysis Data'!$E$2:$E$1095,'Analysis Data'!$B$2:$B$1095,$A34,'Analysis Data'!$I$2:$I$1095,3)</x:f>
        <x:v>105518</x:v>
      </x:c>
      <x:c r="E34" s="16" t="n">
        <x:f>SUMIFS('Analysis Data'!$E$2:$E$1095,'Analysis Data'!$B$2:$B$1095,$A34,'Analysis Data'!$I$2:$I$1095,4)</x:f>
        <x:v>105973</x:v>
      </x:c>
      <x:c r="F34" s="16" t="n">
        <x:f>SUMIFS('Analysis Data'!$E$2:$E$1095,'Analysis Data'!$B$2:$B$1095,$A34,'Analysis Data'!$I$2:$I$1095,5)</x:f>
        <x:v>154742</x:v>
      </x:c>
      <x:c r="G34" s="16" t="n">
        <x:f>SUMIFS('Analysis Data'!$E$2:$E$1095,'Analysis Data'!$B$2:$B$1095,$A34,'Analysis Data'!$I$2:$I$1095,6)</x:f>
        <x:v>208621</x:v>
      </x:c>
      <x:c r="H34" s="16" t="n">
        <x:f>SUMIFS('Analysis Data'!$E$2:$E$1095,'Analysis Data'!$B$2:$B$1095,$A34,'Analysis Data'!$I$2:$I$1095,7)</x:f>
        <x:v>95053</x:v>
      </x:c>
      <x:c r="I34" s="16" t="n">
        <x:f>SUMIFS('Analysis Data'!$E$2:$E$1095,'Analysis Data'!$B$2:$B$1095,$A34,'Analysis Data'!$I$2:$I$1095,8)</x:f>
        <x:v>93450</x:v>
      </x:c>
      <x:c r="J34" s="16" t="n">
        <x:f>SUM(B34:I34)</x:f>
        <x:v>1051792</x:v>
      </x:c>
    </x:row>
    <x:row r="35">
      <x:c r="A35" t="str">
        <x:v>USA</x:v>
      </x:c>
      <x:c r="B35" s="16" t="n">
        <x:f>SUMIFS('Analysis Data'!$E$2:$E$1095,'Analysis Data'!$B$2:$B$1095,$A35,'Analysis Data'!$I$2:$I$1095,1)</x:f>
        <x:v>108276</x:v>
      </x:c>
      <x:c r="C35" s="16" t="n">
        <x:f>SUMIFS('Analysis Data'!$E$2:$E$1095,'Analysis Data'!$B$2:$B$1095,$A35,'Analysis Data'!$I$2:$I$1095,2)</x:f>
        <x:v>122430</x:v>
      </x:c>
      <x:c r="D35" s="16" t="n">
        <x:f>SUMIFS('Analysis Data'!$E$2:$E$1095,'Analysis Data'!$B$2:$B$1095,$A35,'Analysis Data'!$I$2:$I$1095,3)</x:f>
        <x:v>114072</x:v>
      </x:c>
      <x:c r="E35" s="16" t="n">
        <x:f>SUMIFS('Analysis Data'!$E$2:$E$1095,'Analysis Data'!$B$2:$B$1095,$A35,'Analysis Data'!$I$2:$I$1095,4)</x:f>
        <x:v>135086</x:v>
      </x:c>
      <x:c r="F35" s="16" t="n">
        <x:f>SUMIFS('Analysis Data'!$E$2:$E$1095,'Analysis Data'!$B$2:$B$1095,$A35,'Analysis Data'!$I$2:$I$1095,5)</x:f>
        <x:v>156394</x:v>
      </x:c>
      <x:c r="G35" s="16" t="n">
        <x:f>SUMIFS('Analysis Data'!$E$2:$E$1095,'Analysis Data'!$B$2:$B$1095,$A35,'Analysis Data'!$I$2:$I$1095,6)</x:f>
        <x:v>116305</x:v>
      </x:c>
      <x:c r="H35" s="16" t="n">
        <x:f>SUMIFS('Analysis Data'!$E$2:$E$1095,'Analysis Data'!$B$2:$B$1095,$A35,'Analysis Data'!$I$2:$I$1095,7)</x:f>
        <x:v>160104</x:v>
      </x:c>
      <x:c r="I35" s="16" t="n">
        <x:f>SUMIFS('Analysis Data'!$E$2:$E$1095,'Analysis Data'!$B$2:$B$1095,$A35,'Analysis Data'!$I$2:$I$1095,8)</x:f>
        <x:v>122682</x:v>
      </x:c>
      <x:c r="J35" s="16" t="n">
        <x:f>SUM(B35:I35)</x:f>
        <x:v>1035349</x:v>
      </x:c>
    </x:row>
  </x:sheetData>
  <x:mergeCells>
    <x:mergeCell ref="A1:R1"/>
  </x:mergeCells>
  <x:conditionalFormatting sqref="B4:B25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{844486D4-DD07-176A-305D-8102958AD5F1}</x14:id>
        </x:ext>
      </x:extLst>
    </x:cfRule>
  </x:conditionalFormatting>
  <x:conditionalFormatting sqref="G4:G25">
    <x:cfRule type="colorScale" priority="2">
      <x:colorScale>
        <x:cfvo type="min"/>
        <x:cfvo type="percentile" val="50"/>
        <x:cfvo type="max"/>
        <x:color rgb="FFF5D7D0"/>
        <x:color rgb="FFF6EBDD"/>
        <x:color rgb="FFDDE8D5"/>
      </x:colorScale>
    </x:cfRule>
  </x:conditionalFormatting>
  <x:conditionalFormatting sqref="H4:H25">
    <x:cfRule type="expression" dxfId="0" priority="3">
      <x:formula>H4&lt;=5</x:formula>
    </x:cfRule>
  </x:conditionalFormatting>
  <x:conditionalFormatting sqref="N4:N28">
    <x:cfRule type="dataBar" priority="4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{3D6650CB-5A59-87E4-DCAB-C70166E96E06}</x14:id>
        </x:ext>
      </x:extLst>
    </x:cfRule>
  </x:conditionalFormatting>
  <x:conditionalFormatting sqref="R4:R28">
    <x:cfRule type="expression" dxfId="1" priority="5">
      <x:formula>R4&lt;=5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05C60535-1F16-4fd2-B633-F4F36F0B64E0}">
      <x14:sparklineGroups>
        <x14:sparklineGroup lineWeight="1" type="line" displayEmptyCellsAs="gap" displayXAxis="1" xr2:uid="{9C3B24AA-5C02-4444-9B12-B6AB01C0C448}">
          <x14:sparklines>
            <x14:sparkline>
              <xm:f>'Performance Analysis'!B30:I30</xm:f>
              <xm:sqref>K30</xm:sqref>
            </x14:sparkline>
          </x14:sparklines>
        </x14:sparklineGroup>
        <x14:sparklineGroup lineWeight="1" type="line" displayEmptyCellsAs="gap" displayXAxis="1" xr2:uid="{001E5728-3A48-4488-9EF2-B64384C76AE7}">
          <x14:sparklines>
            <x14:sparkline>
              <xm:f>'Performance Analysis'!B31:I31</xm:f>
              <xm:sqref>K31</xm:sqref>
            </x14:sparkline>
          </x14:sparklines>
        </x14:sparklineGroup>
        <x14:sparklineGroup lineWeight="1" type="line" displayEmptyCellsAs="gap" displayXAxis="1" xr2:uid="{D45EEBF8-38BD-4711-9336-AF1F9DDC2664}">
          <x14:sparklines>
            <x14:sparkline>
              <xm:f>'Performance Analysis'!B32:I32</xm:f>
              <xm:sqref>K32</xm:sqref>
            </x14:sparkline>
          </x14:sparklines>
        </x14:sparklineGroup>
        <x14:sparklineGroup lineWeight="1" type="line" displayEmptyCellsAs="gap" displayXAxis="1" xr2:uid="{88B90D70-5429-4B91-833D-9C2BD297C376}">
          <x14:sparklines>
            <x14:sparkline>
              <xm:f>'Performance Analysis'!B33:I33</xm:f>
              <xm:sqref>K33</xm:sqref>
            </x14:sparkline>
          </x14:sparklines>
        </x14:sparklineGroup>
        <x14:sparklineGroup lineWeight="1" type="line" displayEmptyCellsAs="gap" displayXAxis="1" xr2:uid="{C9583BE6-12B0-4C8E-852B-6628D03D42EA}">
          <x14:sparklines>
            <x14:sparkline>
              <xm:f>'Performance Analysis'!B34:I34</xm:f>
              <xm:sqref>K34</xm:sqref>
            </x14:sparkline>
          </x14:sparklines>
        </x14:sparklineGroup>
        <x14:sparklineGroup lineWeight="1" type="line" displayEmptyCellsAs="gap" displayXAxis="1" xr2:uid="{9FF7AF3A-0C92-49EC-BD0B-8596C990298D}">
          <x14:sparklines>
            <x14:sparkline>
              <xm:f>'Performance Analysis'!B35:I35</xm:f>
              <xm:sqref>K35</xm:sqref>
            </x14:sparkline>
          </x14:sparklines>
        </x14:sparklineGroup>
      </x14:sparklineGroups>
    </x:ex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44486D4-DD07-176A-305D-8102958AD5F1}">
            <x14:dataBar gradient="1">
              <x14:cfvo type="min"/>
              <x14:cfvo type="max"/>
              <x14:fillColor rgb="FF4472C4"/>
            </x14:dataBar>
          </x14:cfRule>
          <xm:sqref>B4:B25</xm:sqref>
        </x14:conditionalFormatting>
        <x14:conditionalFormatting>
          <x14:cfRule type="dataBar" priority="4" id="{3D6650CB-5A59-87E4-DCAB-C70166E96E06}">
            <x14:dataBar gradient="1">
              <x14:cfvo type="min"/>
              <x14:cfvo type="max"/>
              <x14:fillColor rgb="FF4472C4"/>
            </x14:dataBar>
          </x14:cfRule>
          <xm:sqref>N4:N28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59" t="str">
        <x:v>REVENUE GROWTH SCENARIO PLANNING</x:v>
      </x:c>
      <x:c r="B1" s="159"/>
      <x:c r="C1" s="159"/>
      <x:c r="D1" s="159"/>
      <x:c r="E1" s="159"/>
      <x:c r="F1" s="159"/>
    </x:row>
    <x:row r="3">
      <x:c r="A3" s="165" t="str">
        <x:v>Growth target</x:v>
      </x:c>
      <x:c r="B3" s="177" t="n">
        <x:v>0.1</x:v>
      </x:c>
    </x:row>
    <x:row r="5">
      <x:c r="A5" s="154" t="str">
        <x:v>Metric</x:v>
      </x:c>
      <x:c r="B5" s="154" t="str">
        <x:v>Value</x:v>
      </x:c>
    </x:row>
    <x:row r="6">
      <x:c r="A6" s="166" t="str">
        <x:v>Current Revenue</x:v>
      </x:c>
      <x:c r="B6" s="178" t="n">
        <x:f>'Summary'!B4</x:f>
        <x:v>6183625</x:v>
      </x:c>
    </x:row>
    <x:row r="7">
      <x:c r="A7" s="166" t="str">
        <x:v>Target Revenue</x:v>
      </x:c>
      <x:c r="B7" s="178" t="n">
        <x:f>B6*(1+$B$3)</x:f>
        <x:v>6801987.500000001</x:v>
      </x:c>
    </x:row>
    <x:row r="8">
      <x:c r="A8" s="166" t="str">
        <x:v>Incremental Revenue Needed</x:v>
      </x:c>
      <x:c r="B8" s="178" t="n">
        <x:f>B7-B6</x:f>
        <x:v>618362.5000000009</x:v>
      </x:c>
    </x:row>
    <x:row r="9">
      <x:c r="A9" s="166" t="str">
        <x:v>Current Orders</x:v>
      </x:c>
      <x:c r="B9" s="179" t="n">
        <x:f>'Summary'!B6</x:f>
        <x:v>1094</x:v>
      </x:c>
    </x:row>
    <x:row r="10">
      <x:c r="A10" s="166" t="str">
        <x:v>Current Avg Order Value</x:v>
      </x:c>
      <x:c r="B10" s="180" t="n">
        <x:f>'Summary'!B7</x:f>
        <x:v>5652.308043875685</x:v>
      </x:c>
    </x:row>
    <x:row r="11">
      <x:c r="A11" s="166" t="str">
        <x:v>Required Avg Order Value</x:v>
      </x:c>
      <x:c r="B11" s="180" t="n">
        <x:f>IFERROR(B7/B9,0)</x:f>
        <x:v>6217.538848263255</x:v>
      </x:c>
    </x:row>
    <x:row r="12">
      <x:c r="A12" s="166" t="str">
        <x:v>Additional Boxes at Current Rev/Box</x:v>
      </x:c>
      <x:c r="B12" s="179" t="n">
        <x:f>IFERROR(B8/'Summary'!B8,0)</x:f>
        <x:v>17700.700000000026</x:v>
      </x:c>
    </x:row>
    <x:row r="15">
      <x:c r="A15" s="168" t="str">
        <x:v>Country</x:v>
      </x:c>
      <x:c r="B15" s="168" t="str">
        <x:v>Current Revenue</x:v>
      </x:c>
      <x:c r="C15" s="168" t="str">
        <x:v>Target Revenue</x:v>
      </x:c>
      <x:c r="D15" s="168" t="str">
        <x:v>Gap</x:v>
      </x:c>
      <x:c r="E15" s="168" t="str">
        <x:v>Monthly Target</x:v>
      </x:c>
    </x:row>
    <x:row r="16">
      <x:c r="A16" t="str">
        <x:v>Australia</x:v>
      </x:c>
      <x:c r="B16" s="16" t="n">
        <x:f>SUMIFS('Analysis Data'!$E$2:$E$1095,'Analysis Data'!$B$2:$B$1095,A16)</x:f>
        <x:v>1137367</x:v>
      </x:c>
      <x:c r="C16" s="16" t="n">
        <x:f>B16*(1+$B$3)</x:f>
        <x:v>1251103.7000000002</x:v>
      </x:c>
      <x:c r="D16" s="16" t="n">
        <x:f>C16-B16</x:f>
        <x:v>113736.70000000019</x:v>
      </x:c>
      <x:c r="E16" s="16" t="n">
        <x:f>C16/8</x:f>
        <x:v>156387.96250000002</x:v>
      </x:c>
    </x:row>
    <x:row r="17">
      <x:c r="A17" t="str">
        <x:v>Canada</x:v>
      </x:c>
      <x:c r="B17" s="16" t="n">
        <x:f>SUMIFS('Analysis Data'!$E$2:$E$1095,'Analysis Data'!$B$2:$B$1095,A17)</x:f>
        <x:v>962899</x:v>
      </x:c>
      <x:c r="C17" s="16" t="n">
        <x:f>B17*(1+$B$3)</x:f>
        <x:v>1059188.9000000001</x:v>
      </x:c>
      <x:c r="D17" s="16" t="n">
        <x:f>C17-B17</x:f>
        <x:v>96289.90000000014</x:v>
      </x:c>
      <x:c r="E17" s="16" t="n">
        <x:f>C17/8</x:f>
        <x:v>132398.61250000002</x:v>
      </x:c>
    </x:row>
    <x:row r="18">
      <x:c r="A18" t="str">
        <x:v>India</x:v>
      </x:c>
      <x:c r="B18" s="16" t="n">
        <x:f>SUMIFS('Analysis Data'!$E$2:$E$1095,'Analysis Data'!$B$2:$B$1095,A18)</x:f>
        <x:v>1045800</x:v>
      </x:c>
      <x:c r="C18" s="16" t="n">
        <x:f>B18*(1+$B$3)</x:f>
        <x:v>1150380</x:v>
      </x:c>
      <x:c r="D18" s="16" t="n">
        <x:f>C18-B18</x:f>
        <x:v>104580</x:v>
      </x:c>
      <x:c r="E18" s="16" t="n">
        <x:f>C18/8</x:f>
        <x:v>143797.5</x:v>
      </x:c>
    </x:row>
    <x:row r="19">
      <x:c r="A19" t="str">
        <x:v>New Zealand</x:v>
      </x:c>
      <x:c r="B19" s="16" t="n">
        <x:f>SUMIFS('Analysis Data'!$E$2:$E$1095,'Analysis Data'!$B$2:$B$1095,A19)</x:f>
        <x:v>950418</x:v>
      </x:c>
      <x:c r="C19" s="16" t="n">
        <x:f>B19*(1+$B$3)</x:f>
        <x:v>1045459.8</x:v>
      </x:c>
      <x:c r="D19" s="16" t="n">
        <x:f>C19-B19</x:f>
        <x:v>95041.80000000005</x:v>
      </x:c>
      <x:c r="E19" s="16" t="n">
        <x:f>C19/8</x:f>
        <x:v>130682.475</x:v>
      </x:c>
    </x:row>
    <x:row r="20">
      <x:c r="A20" t="str">
        <x:v>UK</x:v>
      </x:c>
      <x:c r="B20" s="16" t="n">
        <x:f>SUMIFS('Analysis Data'!$E$2:$E$1095,'Analysis Data'!$B$2:$B$1095,A20)</x:f>
        <x:v>1051792</x:v>
      </x:c>
      <x:c r="C20" s="16" t="n">
        <x:f>B20*(1+$B$3)</x:f>
        <x:v>1156971.2000000002</x:v>
      </x:c>
      <x:c r="D20" s="16" t="n">
        <x:f>C20-B20</x:f>
        <x:v>105179.20000000019</x:v>
      </x:c>
      <x:c r="E20" s="16" t="n">
        <x:f>C20/8</x:f>
        <x:v>144621.40000000002</x:v>
      </x:c>
    </x:row>
    <x:row r="21">
      <x:c r="A21" t="str">
        <x:v>USA</x:v>
      </x:c>
      <x:c r="B21" s="16" t="n">
        <x:f>SUMIFS('Analysis Data'!$E$2:$E$1095,'Analysis Data'!$B$2:$B$1095,A21)</x:f>
        <x:v>1035349</x:v>
      </x:c>
      <x:c r="C21" s="16" t="n">
        <x:f>B21*(1+$B$3)</x:f>
        <x:v>1138883.9000000001</x:v>
      </x:c>
      <x:c r="D21" s="16" t="n">
        <x:f>C21-B21</x:f>
        <x:v>103534.90000000014</x:v>
      </x:c>
      <x:c r="E21" s="16" t="n">
        <x:f>C21/8</x:f>
        <x:v>142360.48750000002</x:v>
      </x:c>
    </x:row>
    <x:row r="24">
      <x:c r="A24" s="181" t="str">
        <x:v>Use the growth-target dropdown to model the revenue level the business would need to reach while keeping the current order count and revenue-per-box assumptions visible.</x:v>
      </x:c>
      <x:c r="B24" s="181"/>
      <x:c r="C24" s="181"/>
      <x:c r="D24" s="181"/>
      <x:c r="E24" s="181"/>
      <x:c r="F24" s="181"/>
    </x:row>
    <x:row r="25">
      <x:c r="A25" s="181"/>
      <x:c r="B25" s="181"/>
      <x:c r="C25" s="181"/>
      <x:c r="D25" s="181"/>
      <x:c r="E25" s="181"/>
      <x:c r="F25" s="181"/>
    </x:row>
  </x:sheetData>
  <x:mergeCells>
    <x:mergeCell ref="A1:F1"/>
    <x:mergeCell ref="A24:F25"/>
  </x:mergeCells>
  <x:conditionalFormatting sqref="D16:D2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{9D402680-FE52-A2F6-DF25-628AB81F04DD}</x14:id>
        </x:ext>
      </x:extLst>
    </x:cfRule>
  </x:conditionalFormatting>
  <x:dataValidations count="1">
    <x:dataValidation type="list" sqref="B3">
      <x:formula1>'_Lists'!$F$2:$F$6</x:formula1>
    </x:dataValidation>
  </x:dataValidations>
  <x:pageMargins left="0.7" right="0.7" top="0.75" bottom="0.75" header="0.3" footer="0.3"/>
  <x:drawing xmlns:r="http://schemas.openxmlformats.org/officeDocument/2006/relationships" r:id="R3f8a0ecef6954de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D402680-FE52-A2F6-DF25-628AB81F04DD}">
            <x14:dataBar gradient="1">
              <x14:cfvo type="min"/>
              <x14:cfvo type="max"/>
              <x14:fillColor rgb="FF4472C4"/>
            </x14:dataBar>
          </x14:cfRule>
          <xm:sqref>D16:D21</xm:sqref>
        </x14:conditionalFormatting>
      </x14:conditionalFormattings>
    </x:ext>
  </x:extLst>
</x:worksheet>
</file>